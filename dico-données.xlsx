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ictionnaire" sheetId="2" state="visible" r:id="rId4"/>
    <sheet name="Listes de valeurs" sheetId="3" state="visible" r:id="rId5"/>
    <sheet name="MCD - MLD" sheetId="4" state="visible" r:id="rId6"/>
  </sheets>
  <definedNames>
    <definedName function="false" hidden="false" localSheetId="1" name="_xlnm.Print_Titles" vbProcedure="false">Dictionnaire!$4:$4</definedName>
    <definedName function="false" hidden="true" localSheetId="1" name="_xlnm._FilterDatabase" vbProcedure="false">Dictionnaire!$A$4:$K$89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<sst xmlns="http://schemas.openxmlformats.org/spreadsheetml/2006/main" count="1032" uniqueCount="519">
  <si>
    <t xml:space="preserve">DICTIONNAIRE DES DONNÉES</t>
  </si>
  <si>
    <t xml:space="preserve">Station météo connectée &amp; intelligente — Cité du numérique de Blois</t>
  </si>
  <si>
    <t xml:space="preserve">Projet IoT · IA — Formation DWWM (titre professionnel niveau 5), bloc CCP2 · Sources : cahier des charges v1.0 et brief client · Septembre 2026</t>
  </si>
  <si>
    <t xml:space="preserve">Chiffres clés</t>
  </si>
  <si>
    <t xml:space="preserve">Tables SQL</t>
  </si>
  <si>
    <t xml:space="preserve">Collections MongoDB</t>
  </si>
  <si>
    <t xml:space="preserve">Données stockées en SQL</t>
  </si>
  <si>
    <t xml:space="preserve">Données stockées dans MongoDB</t>
  </si>
  <si>
    <t xml:space="preserve">Données calculées</t>
  </si>
  <si>
    <t xml:space="preserve">Répartition des données</t>
  </si>
  <si>
    <t xml:space="preserve">MongoDB</t>
  </si>
  <si>
    <t xml:space="preserve">Mesures brutes du capteur (une mesure = un document horodaté) et journaux techniques.</t>
  </si>
  <si>
    <t xml:space="preserve">SQL (MySQL ou PostgreSQL)</t>
  </si>
  <si>
    <t xml:space="preserve">Utilisateurs, grandeurs, seuils et leur historique, alertes, destinataires, résultats du module IA (résumés, prévisions, anomalies).</t>
  </si>
  <si>
    <t xml:space="preserve">Non stockées</t>
  </si>
  <si>
    <t xml:space="preserve">Statistiques, tendance et état du capteur, calculés par l'API à partir des mesures.</t>
  </si>
  <si>
    <t xml:space="preserve">Contenu du classeur</t>
  </si>
  <si>
    <t xml:space="preserve">Dictionnaire</t>
  </si>
  <si>
    <t xml:space="preserve">Toutes les données, regroupées par entité : libellé, code, format, longueur, contrainte, nature, règle, exemple.</t>
  </si>
  <si>
    <t xml:space="preserve">Listes de valeurs</t>
  </si>
  <si>
    <t xml:space="preserve">Valeurs autorisées des listes, contenu de GRANDEUR et seuils de départ.</t>
  </si>
  <si>
    <t xml:space="preserve">MCD - MLD</t>
  </si>
  <si>
    <t xml:space="preserve">Associations et cardinalités, liens entre les deux bases, MLD en notation textuelle.</t>
  </si>
  <si>
    <t xml:space="preserve">Légende</t>
  </si>
  <si>
    <t xml:space="preserve">Identifiant</t>
  </si>
  <si>
    <t xml:space="preserve">Identifiant de l'entité (clé primaire)</t>
  </si>
  <si>
    <t xml:space="preserve">Obligatoire, unique</t>
  </si>
  <si>
    <t xml:space="preserve">Donnée obligatoire qui ne peut pas avoir deux fois la même valeur</t>
  </si>
  <si>
    <t xml:space="preserve">Obligatoire</t>
  </si>
  <si>
    <t xml:space="preserve">Donnée obligatoire (Facultatif = peut rester vide)</t>
  </si>
  <si>
    <t xml:space="preserve">Calculée</t>
  </si>
  <si>
    <t xml:space="preserve">Donnée obtenue par un calcul (règle indiquée)</t>
  </si>
  <si>
    <t xml:space="preserve">30.0</t>
  </si>
  <si>
    <t xml:space="preserve">Valeur proposée, à valider avec le client</t>
  </si>
  <si>
    <t xml:space="preserve">Conventions</t>
  </si>
  <si>
    <t xml:space="preserve">•</t>
  </si>
  <si>
    <t xml:space="preserve">Un code = une seule donnée, avec un seul sens : aucun code n'est répété.</t>
  </si>
  <si>
    <t xml:space="preserve">Les clés étrangères n'apparaissent pas dans le dictionnaire : elles découlent des associations du MCD (onglet « MCD / MLD »).</t>
  </si>
  <si>
    <t xml:space="preserve">Longueur : nombre de caractères pour un alphanumérique, « chiffres,décimales » pour un décimal, « — » quand elle ne s'applique pas.</t>
  </si>
  <si>
    <t xml:space="preserve">Les dates sont stockées en UTC et affichées à l'heure de Paris.</t>
  </si>
  <si>
    <t xml:space="preserve">Les seuils de départ (onglet « Listes de valeurs ») sont des propositions : le client n'en a donné aucun et doit pouvoir les modifier lui-même.</t>
  </si>
  <si>
    <t xml:space="preserve">Choix de conception (à savoir justifier à l'oral)</t>
  </si>
  <si>
    <t xml:space="preserve">Le rôle est une liste de valeurs dans UTILISATEUR plutôt qu'une table : il n'y a que trois rôles fixes.</t>
  </si>
  <si>
    <t xml:space="preserve">Pas de table de sessions : l'authentification se fait par jeton JWT, qui expire après 30 min d'inactivité (§ 5.1).</t>
  </si>
  <si>
    <t xml:space="preserve">Le jeton de réinitialisation est rangé dans UTILISATEUR : un seul lien valide à la fois suffit.</t>
  </si>
  <si>
    <t xml:space="preserve">Les statistiques (minimum, maximum, moyenne, cumul, tendance) et l'état du capteur sont calculés à la demande par l'API à partir de MongoDB : ils ne sont pas stockés, pour éviter les doublons.</t>
  </si>
  <si>
    <t xml:space="preserve">Les journaux techniques (collecte, payloads rejetés, appels IA, e-mails, actions des utilisateurs) sont dans MongoDB : leur contenu varie selon le type d'événement.</t>
  </si>
  <si>
    <t xml:space="preserve">Un payload invalide n'est pas enregistré dans MESURE : il est rejeté et tracé dans JOURNAL_TECHNIQUE (§ 7.3).</t>
  </si>
  <si>
    <t xml:space="preserve">Les grandeurs de MESURE sont facultatives : une mesure dont une valeur est hors plage est gardée, sans cette valeur.</t>
  </si>
  <si>
    <t xml:space="preserve">Le délai d'absence de données (30 min) et les autres réglages techniques sont des variables de configuration de l'API.</t>
  </si>
  <si>
    <t xml:space="preserve">Dictionnaire des données</t>
  </si>
  <si>
    <t xml:space="preserve">Station météo connectée &amp; intelligente — une ligne par donnée, un code unique par donnée. SQL = MySQL ou PostgreSQL.</t>
  </si>
  <si>
    <t xml:space="preserve">N°</t>
  </si>
  <si>
    <t xml:space="preserve">Entité</t>
  </si>
  <si>
    <t xml:space="preserve">Libellé de la donnée</t>
  </si>
  <si>
    <t xml:space="preserve">Code</t>
  </si>
  <si>
    <t xml:space="preserve">Format</t>
  </si>
  <si>
    <t xml:space="preserve">Longueur</t>
  </si>
  <si>
    <t xml:space="preserve">Contrainte</t>
  </si>
  <si>
    <t xml:space="preserve">Nature</t>
  </si>
  <si>
    <t xml:space="preserve">Règle de gestion / de calcul</t>
  </si>
  <si>
    <t xml:space="preserve">Exemple</t>
  </si>
  <si>
    <t xml:space="preserve">Base</t>
  </si>
  <si>
    <t xml:space="preserve">▸  UTILISATEUR   ·   SQL   —   Comptes du personnel. Le visiteur de l'écran public n'a pas de compte.</t>
  </si>
  <si>
    <t xml:space="preserve">UTILISATEUR</t>
  </si>
  <si>
    <t xml:space="preserve">Identifiant de l'utilisateur</t>
  </si>
  <si>
    <t xml:space="preserve">ID_UTILISATEUR</t>
  </si>
  <si>
    <t xml:space="preserve">Entier</t>
  </si>
  <si>
    <t xml:space="preserve">—</t>
  </si>
  <si>
    <t xml:space="preserve">Élémentaire</t>
  </si>
  <si>
    <t xml:space="preserve">Auto-incrément</t>
  </si>
  <si>
    <t xml:space="preserve">12</t>
  </si>
  <si>
    <t xml:space="preserve">SQL</t>
  </si>
  <si>
    <t xml:space="preserve">Nom</t>
  </si>
  <si>
    <t xml:space="preserve">NOM_UTILISATEUR</t>
  </si>
  <si>
    <t xml:space="preserve">Alphanumérique</t>
  </si>
  <si>
    <t xml:space="preserve">50</t>
  </si>
  <si>
    <t xml:space="preserve">Martin</t>
  </si>
  <si>
    <t xml:space="preserve">Prénom</t>
  </si>
  <si>
    <t xml:space="preserve">PRENOM_UTILISATEUR</t>
  </si>
  <si>
    <t xml:space="preserve">Claire</t>
  </si>
  <si>
    <t xml:space="preserve">Adresse e-mail</t>
  </si>
  <si>
    <t xml:space="preserve">EMAIL_UTILISATEUR</t>
  </si>
  <si>
    <t xml:space="preserve">255</t>
  </si>
  <si>
    <t xml:space="preserve">Sert d'identifiant de connexion</t>
  </si>
  <si>
    <t xml:space="preserve">c.martin@citenumerique-blois.fr</t>
  </si>
  <si>
    <t xml:space="preserve">Mot de passe haché</t>
  </si>
  <si>
    <t xml:space="preserve">MOT_DE_PASSE_HASH</t>
  </si>
  <si>
    <t xml:space="preserve">Hachage bcrypt ou argon2 ; jamais stocké en clair (§ 7.2)</t>
  </si>
  <si>
    <t xml:space="preserve">$2b$12$Kq3…</t>
  </si>
  <si>
    <t xml:space="preserve">Rôle</t>
  </si>
  <si>
    <t xml:space="preserve">ROLE</t>
  </si>
  <si>
    <t xml:space="preserve">Liste de valeurs</t>
  </si>
  <si>
    <t xml:space="preserve">Voir « Listes de valeurs » ; seul un administrateur peut le modifier</t>
  </si>
  <si>
    <t xml:space="preserve">ANIMATEUR</t>
  </si>
  <si>
    <t xml:space="preserve">Compte actif</t>
  </si>
  <si>
    <t xml:space="preserve">COMPTE_ACTIF</t>
  </si>
  <si>
    <t xml:space="preserve">Booléen</t>
  </si>
  <si>
    <t xml:space="preserve">Vrai par défaut ; on désactive un compte plutôt que de le supprimer</t>
  </si>
  <si>
    <t xml:space="preserve">Vrai</t>
  </si>
  <si>
    <t xml:space="preserve">Jeton de réinitialisation haché</t>
  </si>
  <si>
    <t xml:space="preserve">TOKEN_RESET_HASH</t>
  </si>
  <si>
    <t xml:space="preserve">64</t>
  </si>
  <si>
    <t xml:space="preserve">Facultatif</t>
  </si>
  <si>
    <t xml:space="preserve">Empreinte SHA-256 du lien envoyé par e-mail ; vidé après utilisation (§ 5.1)</t>
  </si>
  <si>
    <t xml:space="preserve">9f86d081884c7d65…</t>
  </si>
  <si>
    <t xml:space="preserve">Expiration du jeton</t>
  </si>
  <si>
    <t xml:space="preserve">TOKEN_RESET_EXPIRATION</t>
  </si>
  <si>
    <t xml:space="preserve">Date/heure</t>
  </si>
  <si>
    <t xml:space="preserve">Date de création du jeton + 30 min</t>
  </si>
  <si>
    <t xml:space="preserve">02/10/2026 18:30</t>
  </si>
  <si>
    <t xml:space="preserve">Date de création du compte</t>
  </si>
  <si>
    <t xml:space="preserve">DATE_CREATION_COMPTE</t>
  </si>
  <si>
    <t xml:space="preserve">Renseignée automatiquement</t>
  </si>
  <si>
    <t xml:space="preserve">15/09/2026 10:00</t>
  </si>
  <si>
    <t xml:space="preserve">▸  GRANDEUR   ·   SQL   —   Liste des grandeurs mesurées, avec leur libellé et leur unité (référentiel).</t>
  </si>
  <si>
    <t xml:space="preserve">GRANDEUR</t>
  </si>
  <si>
    <t xml:space="preserve">Code de la grandeur</t>
  </si>
  <si>
    <t xml:space="preserve">CODE_GRANDEUR</t>
  </si>
  <si>
    <t xml:space="preserve">30</t>
  </si>
  <si>
    <t xml:space="preserve">Identique au nom du champ dans MESURE (MongoDB)</t>
  </si>
  <si>
    <t xml:space="preserve">temperature</t>
  </si>
  <si>
    <t xml:space="preserve">Libellé de la grandeur</t>
  </si>
  <si>
    <t xml:space="preserve">LIBELLE_GRANDEUR</t>
  </si>
  <si>
    <t xml:space="preserve">Texte affiché à l'écran</t>
  </si>
  <si>
    <t xml:space="preserve">Température</t>
  </si>
  <si>
    <t xml:space="preserve">Unité</t>
  </si>
  <si>
    <t xml:space="preserve">UNITE_GRANDEUR</t>
  </si>
  <si>
    <t xml:space="preserve">10</t>
  </si>
  <si>
    <t xml:space="preserve">°C</t>
  </si>
  <si>
    <t xml:space="preserve">▸  SEUIL   ·   SQL   —   Un seuil par type d'alerte, modifiable par l'administrateur sans redéploiement (§ 5.3).</t>
  </si>
  <si>
    <t xml:space="preserve">SEUIL</t>
  </si>
  <si>
    <t xml:space="preserve">Identifiant du seuil</t>
  </si>
  <si>
    <t xml:space="preserve">ID_SEUIL</t>
  </si>
  <si>
    <t xml:space="preserve">1</t>
  </si>
  <si>
    <t xml:space="preserve">Type d'alerte</t>
  </si>
  <si>
    <t xml:space="preserve">TYPE_ALERTE</t>
  </si>
  <si>
    <t xml:space="preserve">Un seul seuil par type</t>
  </si>
  <si>
    <t xml:space="preserve">CHALEUR</t>
  </si>
  <si>
    <t xml:space="preserve">Opérateur de comparaison</t>
  </si>
  <si>
    <t xml:space="preserve">OPERATEUR</t>
  </si>
  <si>
    <t xml:space="preserve">Alerte si « mesure OPERATEUR valeur du seuil » est vrai</t>
  </si>
  <si>
    <t xml:space="preserve">&gt;</t>
  </si>
  <si>
    <t xml:space="preserve">Valeur du seuil</t>
  </si>
  <si>
    <t xml:space="preserve">VALEUR_SEUIL</t>
  </si>
  <si>
    <t xml:space="preserve">Décimal</t>
  </si>
  <si>
    <t xml:space="preserve">6,2</t>
  </si>
  <si>
    <t xml:space="preserve">Dans l'unité de la grandeur concernée</t>
  </si>
  <si>
    <t xml:space="preserve">30,00</t>
  </si>
  <si>
    <t xml:space="preserve">Seuil actif</t>
  </si>
  <si>
    <t xml:space="preserve">SEUIL_ACTIF</t>
  </si>
  <si>
    <t xml:space="preserve">Vrai par défaut ; un seuil inactif ne déclenche rien</t>
  </si>
  <si>
    <t xml:space="preserve">▸  HISTORIQUE_SEUIL   ·   SQL   —   Trace de chaque modification de seuil (§ 5.6).</t>
  </si>
  <si>
    <t xml:space="preserve">HISTORIQUE_SEUIL</t>
  </si>
  <si>
    <t xml:space="preserve">Identifiant de la modification</t>
  </si>
  <si>
    <t xml:space="preserve">ID_HISTORIQUE</t>
  </si>
  <si>
    <t xml:space="preserve">17</t>
  </si>
  <si>
    <t xml:space="preserve">Ancienne valeur</t>
  </si>
  <si>
    <t xml:space="preserve">ANCIENNE_VALEUR</t>
  </si>
  <si>
    <t xml:space="preserve">Vide lors de la création du seuil</t>
  </si>
  <si>
    <t xml:space="preserve">32,00</t>
  </si>
  <si>
    <t xml:space="preserve">Nouvelle valeur</t>
  </si>
  <si>
    <t xml:space="preserve">NOUVELLE_VALEUR</t>
  </si>
  <si>
    <t xml:space="preserve">Date de la modification</t>
  </si>
  <si>
    <t xml:space="preserve">DATE_MODIFICATION_SEUIL</t>
  </si>
  <si>
    <t xml:space="preserve">28/09/2026 11:04</t>
  </si>
  <si>
    <t xml:space="preserve">▸  ALERTE   ·   SQL   —   Alertes déclenchées par le franchissement d'un seuil (§ 5.3).</t>
  </si>
  <si>
    <t xml:space="preserve">ALERTE</t>
  </si>
  <si>
    <t xml:space="preserve">Identifiant de l'alerte</t>
  </si>
  <si>
    <t xml:space="preserve">ID_ALERTE</t>
  </si>
  <si>
    <t xml:space="preserve">412</t>
  </si>
  <si>
    <t xml:space="preserve">Valeur déclenchante</t>
  </si>
  <si>
    <t xml:space="preserve">VALEUR_DECLENCHANTE</t>
  </si>
  <si>
    <t xml:space="preserve">Valeur mesurée qui a franchi le seuil</t>
  </si>
  <si>
    <t xml:space="preserve">13,40</t>
  </si>
  <si>
    <t xml:space="preserve">Valeur du seuil appliquée</t>
  </si>
  <si>
    <t xml:space="preserve">VALEUR_SEUIL_APPLIQUEE</t>
  </si>
  <si>
    <t xml:space="preserve">Copie de VALEUR_SEUIL au moment du déclenchement : l'historique reste juste si le seuil change</t>
  </si>
  <si>
    <t xml:space="preserve">11,00</t>
  </si>
  <si>
    <t xml:space="preserve">Date de déclenchement</t>
  </si>
  <si>
    <t xml:space="preserve">DATE_DECLENCHEMENT</t>
  </si>
  <si>
    <t xml:space="preserve">02/10/2026 14:00</t>
  </si>
  <si>
    <t xml:space="preserve">État de l'alerte</t>
  </si>
  <si>
    <t xml:space="preserve">ETAT_ALERTE</t>
  </si>
  <si>
    <t xml:space="preserve">Déclenchée → Notifiée → Acquittée → Clôturée ; pas de nouvelle alerte du même type tant que la précédente n'est pas clôturée (anti-rebond)</t>
  </si>
  <si>
    <t xml:space="preserve">ACQUITTEE</t>
  </si>
  <si>
    <t xml:space="preserve">Date de notification</t>
  </si>
  <si>
    <t xml:space="preserve">DATE_NOTIFICATION</t>
  </si>
  <si>
    <t xml:space="preserve">Renseignée à l'envoi de l'e-mail aux destinataires</t>
  </si>
  <si>
    <t xml:space="preserve">Date d'acquittement</t>
  </si>
  <si>
    <t xml:space="preserve">DATE_ACQUITTEMENT</t>
  </si>
  <si>
    <t xml:space="preserve">Renseignée quand un administrateur ou un animateur acquitte</t>
  </si>
  <si>
    <t xml:space="preserve">02/10/2026 14:06</t>
  </si>
  <si>
    <t xml:space="preserve">Date de clôture</t>
  </si>
  <si>
    <t xml:space="preserve">DATE_CLOTURE</t>
  </si>
  <si>
    <t xml:space="preserve">Renseignée quand la situation revient à la normale</t>
  </si>
  <si>
    <t xml:space="preserve">02/10/2026 16:30</t>
  </si>
  <si>
    <t xml:space="preserve">▸  DESTINATAIRE   ·   SQL   —   Personnes qui reçoivent l'e-mail quotidien et/ou les alertes (§ 5.6).</t>
  </si>
  <si>
    <t xml:space="preserve">DESTINATAIRE</t>
  </si>
  <si>
    <t xml:space="preserve">Identifiant du destinataire</t>
  </si>
  <si>
    <t xml:space="preserve">ID_DESTINATAIRE</t>
  </si>
  <si>
    <t xml:space="preserve">4</t>
  </si>
  <si>
    <t xml:space="preserve">Adresse e-mail du destinataire</t>
  </si>
  <si>
    <t xml:space="preserve">EMAIL_DESTINATAIRE</t>
  </si>
  <si>
    <t xml:space="preserve">accueil@citenumerique-blois.fr</t>
  </si>
  <si>
    <t xml:space="preserve">Reçoit l'e-mail quotidien</t>
  </si>
  <si>
    <t xml:space="preserve">RECOIT_EMAIL_QUOTIDIEN</t>
  </si>
  <si>
    <t xml:space="preserve">E-mail de 7 h envoyé par n8n (§ 5.5)</t>
  </si>
  <si>
    <t xml:space="preserve">Reçoit les alertes</t>
  </si>
  <si>
    <t xml:space="preserve">RECOIT_ALERTES</t>
  </si>
  <si>
    <t xml:space="preserve">Destinataire actif</t>
  </si>
  <si>
    <t xml:space="preserve">DESTINATAIRE_ACTIF</t>
  </si>
  <si>
    <t xml:space="preserve">Vrai par défaut</t>
  </si>
  <si>
    <t xml:space="preserve">▸  RESULTAT_IA   ·   SQL   —   Résumés en langage naturel et prévisions produits par le module IA (§ 6).</t>
  </si>
  <si>
    <t xml:space="preserve">RESULTAT_IA</t>
  </si>
  <si>
    <t xml:space="preserve">Identifiant du résultat</t>
  </si>
  <si>
    <t xml:space="preserve">ID_RESULTAT</t>
  </si>
  <si>
    <t xml:space="preserve">3310</t>
  </si>
  <si>
    <t xml:space="preserve">Type de résultat</t>
  </si>
  <si>
    <t xml:space="preserve">TYPE_RESULTAT</t>
  </si>
  <si>
    <t xml:space="preserve">RESUME ou PREVISION</t>
  </si>
  <si>
    <t xml:space="preserve">PREVISION</t>
  </si>
  <si>
    <t xml:space="preserve">Texte du résumé</t>
  </si>
  <si>
    <t xml:space="preserve">CONTENU_RESUME</t>
  </si>
  <si>
    <t xml:space="preserve">Texte long</t>
  </si>
  <si>
    <t xml:space="preserve">Obligatoire si RESUME : 2 à 3 phrases</t>
  </si>
  <si>
    <t xml:space="preserve">Il fait 18 °C sur le toit et le vent se renforce.</t>
  </si>
  <si>
    <t xml:space="preserve">Valeur prévue</t>
  </si>
  <si>
    <t xml:space="preserve">VALEUR_PREVUE</t>
  </si>
  <si>
    <t xml:space="preserve">9,2</t>
  </si>
  <si>
    <t xml:space="preserve">Obligatoire si PREVISION</t>
  </si>
  <si>
    <t xml:space="preserve">22,40</t>
  </si>
  <si>
    <t xml:space="preserve">Incertitude de la prévision (±)</t>
  </si>
  <si>
    <t xml:space="preserve">INCERTITUDE</t>
  </si>
  <si>
    <t xml:space="preserve">Obligatoire si PREVISION ; affichage « valeur ± incertitude » (estimation, jamais certitude)</t>
  </si>
  <si>
    <t xml:space="preserve">1,50</t>
  </si>
  <si>
    <t xml:space="preserve">Instant prévu</t>
  </si>
  <si>
    <t xml:space="preserve">INSTANT_PREVU</t>
  </si>
  <si>
    <t xml:space="preserve">Obligatoire si PREVISION ; postérieur à DATE_GENERATION</t>
  </si>
  <si>
    <t xml:space="preserve">02/10/2026 15:00</t>
  </si>
  <si>
    <t xml:space="preserve">Date de génération</t>
  </si>
  <si>
    <t xml:space="preserve">DATE_GENERATION</t>
  </si>
  <si>
    <t xml:space="preserve">Toujours affichée : un résultat IA doit être horodaté</t>
  </si>
  <si>
    <t xml:space="preserve">02/10/2026 07:00</t>
  </si>
  <si>
    <t xml:space="preserve">▸  ANOMALIE   ·   SQL   —   Mesures jugées anormales par le module IA, signalées sur les graphiques (§ 4.2, § 6).</t>
  </si>
  <si>
    <t xml:space="preserve">ANOMALIE</t>
  </si>
  <si>
    <t xml:space="preserve">Identifiant de l'anomalie</t>
  </si>
  <si>
    <t xml:space="preserve">ID_ANOMALIE</t>
  </si>
  <si>
    <t xml:space="preserve">951</t>
  </si>
  <si>
    <t xml:space="preserve">Instant de la mesure anormale</t>
  </si>
  <si>
    <t xml:space="preserve">INSTANT_MESURE_ANORMALE</t>
  </si>
  <si>
    <t xml:space="preserve">Égal à INSTANT_MESURE de la mesure concernée dans MongoDB</t>
  </si>
  <si>
    <t xml:space="preserve">02/10/2026 03:10</t>
  </si>
  <si>
    <t xml:space="preserve">Valeur mesurée</t>
  </si>
  <si>
    <t xml:space="preserve">VALEUR_MESUREE</t>
  </si>
  <si>
    <t xml:space="preserve">19,60</t>
  </si>
  <si>
    <t xml:space="preserve">Score d'anomalie</t>
  </si>
  <si>
    <t xml:space="preserve">SCORE_ANOMALIE</t>
  </si>
  <si>
    <t xml:space="preserve">Écart à la moyenne habituelle divisé par l'écart-type (z-score) ; anomalie si supérieur à 3</t>
  </si>
  <si>
    <t xml:space="preserve">4,87</t>
  </si>
  <si>
    <t xml:space="preserve">Date de détection</t>
  </si>
  <si>
    <t xml:space="preserve">DATE_DETECTION</t>
  </si>
  <si>
    <t xml:space="preserve">02/10/2026 03:15</t>
  </si>
  <si>
    <t xml:space="preserve">▸  MESURE   ·   MongoDB   —   Une mesure reçue du capteur SenseCAP S2120 = un document horodaté (collection « mesures »).</t>
  </si>
  <si>
    <t xml:space="preserve">MESURE</t>
  </si>
  <si>
    <t xml:space="preserve">Identifiant de la mesure</t>
  </si>
  <si>
    <t xml:space="preserve">ID_MESURE</t>
  </si>
  <si>
    <t xml:space="preserve">ObjectId</t>
  </si>
  <si>
    <t xml:space="preserve">24</t>
  </si>
  <si>
    <t xml:space="preserve">Généré par MongoDB (_id)</t>
  </si>
  <si>
    <t xml:space="preserve">6710c3e2a1b4f90c2d7e1a55</t>
  </si>
  <si>
    <t xml:space="preserve">Référence du capteur (DevEUI)</t>
  </si>
  <si>
    <t xml:space="preserve">REFERENCE_CAPTEUR</t>
  </si>
  <si>
    <t xml:space="preserve">16</t>
  </si>
  <si>
    <t xml:space="preserve">16 caractères hexadécimaux</t>
  </si>
  <si>
    <t xml:space="preserve">2CF7F1C04430001A</t>
  </si>
  <si>
    <t xml:space="preserve">Instant de la mesure</t>
  </si>
  <si>
    <t xml:space="preserve">INSTANT_MESURE</t>
  </si>
  <si>
    <t xml:space="preserve">En UTC ; unique avec REFERENCE_CAPTEUR (pas de doublon)</t>
  </si>
  <si>
    <t xml:space="preserve">02/10/2026 12:00</t>
  </si>
  <si>
    <t xml:space="preserve">Température (°C)</t>
  </si>
  <si>
    <t xml:space="preserve">TEMPERATURE</t>
  </si>
  <si>
    <t xml:space="preserve">De −40 à 85</t>
  </si>
  <si>
    <t xml:space="preserve">18,4</t>
  </si>
  <si>
    <t xml:space="preserve">Humidité relative (%)</t>
  </si>
  <si>
    <t xml:space="preserve">HUMIDITE</t>
  </si>
  <si>
    <t xml:space="preserve">De 0 à 100</t>
  </si>
  <si>
    <t xml:space="preserve">63,0</t>
  </si>
  <si>
    <t xml:space="preserve">Vitesse du vent (m/s)</t>
  </si>
  <si>
    <t xml:space="preserve">VENT_VITESSE</t>
  </si>
  <si>
    <t xml:space="preserve">De 0 à 60 ; affichage possible en km/h (× 3,6)</t>
  </si>
  <si>
    <t xml:space="preserve">4,7</t>
  </si>
  <si>
    <t xml:space="preserve">Direction du vent (°)</t>
  </si>
  <si>
    <t xml:space="preserve">VENT_DIRECTION</t>
  </si>
  <si>
    <t xml:space="preserve">De 0 à 359 (0 = nord, 90 = est)</t>
  </si>
  <si>
    <t xml:space="preserve">225</t>
  </si>
  <si>
    <t xml:space="preserve">Précipitations (mm)</t>
  </si>
  <si>
    <t xml:space="preserve">PRECIPITATION</t>
  </si>
  <si>
    <t xml:space="preserve">De 0 à 240 ; unité à confirmer avec la documentation du payload</t>
  </si>
  <si>
    <t xml:space="preserve">0,4</t>
  </si>
  <si>
    <t xml:space="preserve">Luminosité (lux)</t>
  </si>
  <si>
    <t xml:space="preserve">LUMINOSITE</t>
  </si>
  <si>
    <t xml:space="preserve">De 0 à 200 000</t>
  </si>
  <si>
    <t xml:space="preserve">35600</t>
  </si>
  <si>
    <t xml:space="preserve">Indice UV</t>
  </si>
  <si>
    <t xml:space="preserve">INDICE_UV</t>
  </si>
  <si>
    <t xml:space="preserve">De 0 à 15</t>
  </si>
  <si>
    <t xml:space="preserve">3,1</t>
  </si>
  <si>
    <t xml:space="preserve">Pression atmosphérique (hPa)</t>
  </si>
  <si>
    <t xml:space="preserve">PRESSION_ATMOSPHERIQUE</t>
  </si>
  <si>
    <t xml:space="preserve">De 300 à 1 100 ; le payload donne des Pa (÷ 100)</t>
  </si>
  <si>
    <t xml:space="preserve">1016,2</t>
  </si>
  <si>
    <t xml:space="preserve">Niveau de batterie (%)</t>
  </si>
  <si>
    <t xml:space="preserve">NIVEAU_BATTERIE</t>
  </si>
  <si>
    <t xml:space="preserve">87</t>
  </si>
  <si>
    <t xml:space="preserve">Qualité du signal (dBm)</t>
  </si>
  <si>
    <t xml:space="preserve">QUALITE_SIGNAL</t>
  </si>
  <si>
    <t xml:space="preserve">RSSI, de −140 à 0 (plus proche de 0 = meilleur)</t>
  </si>
  <si>
    <t xml:space="preserve">-97</t>
  </si>
  <si>
    <t xml:space="preserve">Payload brut</t>
  </si>
  <si>
    <t xml:space="preserve">PAYLOAD_BRUT</t>
  </si>
  <si>
    <t xml:space="preserve">500</t>
  </si>
  <si>
    <t xml:space="preserve">Trame reçue, encodée en Base64 ; affichée à côté des valeurs décodées en atelier (§ 4.4)</t>
  </si>
  <si>
    <t xml:space="preserve">AQDKAAABAQQA…</t>
  </si>
  <si>
    <t xml:space="preserve">▸  JOURNAL_TECHNIQUE   ·   MongoDB   —   Journal consultable par l'administrateur : collecte, payloads rejetés, appels IA, envois d'e-mails, actions des utilisateurs (collection « journaux »).</t>
  </si>
  <si>
    <t xml:space="preserve">JOURNAL_TECHNIQUE</t>
  </si>
  <si>
    <t xml:space="preserve">Identifiant de l'entrée</t>
  </si>
  <si>
    <t xml:space="preserve">ID_JOURNAL</t>
  </si>
  <si>
    <t xml:space="preserve">6712a0b2c3d4e5f60718293a</t>
  </si>
  <si>
    <t xml:space="preserve">Type d'événement</t>
  </si>
  <si>
    <t xml:space="preserve">TYPE_EVENEMENT</t>
  </si>
  <si>
    <t xml:space="preserve">Voir « Listes de valeurs »</t>
  </si>
  <si>
    <t xml:space="preserve">PAYLOAD_REJETE</t>
  </si>
  <si>
    <t xml:space="preserve">Statut</t>
  </si>
  <si>
    <t xml:space="preserve">STATUT_EVENEMENT</t>
  </si>
  <si>
    <t xml:space="preserve">SUCCES ou ECHEC</t>
  </si>
  <si>
    <t xml:space="preserve">ECHEC</t>
  </si>
  <si>
    <t xml:space="preserve">Date de l'événement</t>
  </si>
  <si>
    <t xml:space="preserve">DATE_EVENEMENT</t>
  </si>
  <si>
    <t xml:space="preserve">En UTC</t>
  </si>
  <si>
    <t xml:space="preserve">02/10/2026 03:14</t>
  </si>
  <si>
    <t xml:space="preserve">Message</t>
  </si>
  <si>
    <t xml:space="preserve">MESSAGE_EVENEMENT</t>
  </si>
  <si>
    <t xml:space="preserve">Jamais de mot de passe ni de clé d'API</t>
  </si>
  <si>
    <t xml:space="preserve">Payload rejeté : longueur inattendue</t>
  </si>
  <si>
    <t xml:space="preserve">Détail</t>
  </si>
  <si>
    <t xml:space="preserve">DETAIL_EVENEMENT</t>
  </si>
  <si>
    <t xml:space="preserve">Objet (JSON)</t>
  </si>
  <si>
    <t xml:space="preserve">Contenu libre selon le type : payload rejeté, auteur d'une action, erreur d'envoi…</t>
  </si>
  <si>
    <t xml:space="preserve">{ "payload_brut": "AQD//wA=" }</t>
  </si>
  <si>
    <t xml:space="preserve">▸  Données calculées (non stockées)   —   Calculées par l'API à partir des mesures, au moment de l'affichage. Elles ne sont stockées dans aucune base.</t>
  </si>
  <si>
    <t xml:space="preserve">Dernière mesure reçue</t>
  </si>
  <si>
    <t xml:space="preserve">DERNIERE_MESURE_RECUE</t>
  </si>
  <si>
    <t xml:space="preserve">Valeur maximale de INSTANT_MESURE</t>
  </si>
  <si>
    <t xml:space="preserve">Non stockée</t>
  </si>
  <si>
    <t xml:space="preserve">État du capteur</t>
  </si>
  <si>
    <t xml:space="preserve">ETAT_CAPTEUR</t>
  </si>
  <si>
    <t xml:space="preserve">HORS_LIGNE si aucune mesure depuis plus de 30 min ; sinon BATTERIE_FAIBLE si NIVEAU_BATTERIE &lt; 20 ; sinon OK</t>
  </si>
  <si>
    <t xml:space="preserve">OK</t>
  </si>
  <si>
    <t xml:space="preserve">Minimum sur la période</t>
  </si>
  <si>
    <t xml:space="preserve">MINIMUM_PERIODE</t>
  </si>
  <si>
    <t xml:space="preserve">Valeur minimale d'une grandeur sur la période choisie (24 h, 7 j, 30 j…)</t>
  </si>
  <si>
    <t xml:space="preserve">12,1</t>
  </si>
  <si>
    <t xml:space="preserve">Maximum sur la période</t>
  </si>
  <si>
    <t xml:space="preserve">MAXIMUM_PERIODE</t>
  </si>
  <si>
    <t xml:space="preserve">Valeur maximale d'une grandeur sur la période</t>
  </si>
  <si>
    <t xml:space="preserve">24,8</t>
  </si>
  <si>
    <t xml:space="preserve">Moyenne sur la période</t>
  </si>
  <si>
    <t xml:space="preserve">MOYENNE_PERIODE</t>
  </si>
  <si>
    <t xml:space="preserve">Moyenne d'une grandeur sur la période</t>
  </si>
  <si>
    <t xml:space="preserve">17,6</t>
  </si>
  <si>
    <t xml:space="preserve">Cumul de précipitations</t>
  </si>
  <si>
    <t xml:space="preserve">CUMUL_PRECIPITATIONS</t>
  </si>
  <si>
    <t xml:space="preserve">Somme de PRECIPITATION sur la période</t>
  </si>
  <si>
    <t xml:space="preserve">12,4</t>
  </si>
  <si>
    <t xml:space="preserve">Tendance</t>
  </si>
  <si>
    <t xml:space="preserve">TENDANCE</t>
  </si>
  <si>
    <t xml:space="preserve">Moyenne de la dernière heure comparée à celle de l'heure précédente : HAUSSE, BAISSE ou STABLE</t>
  </si>
  <si>
    <t xml:space="preserve">HAUSSE</t>
  </si>
  <si>
    <t xml:space="preserve">Listes de valeurs et contenu initial</t>
  </si>
  <si>
    <t xml:space="preserve">Valeurs autorisées des données de format « Liste de valeurs », contenu de GRANDEUR et seuils de départ. Fond jaune = proposition à valider avec le client.</t>
  </si>
  <si>
    <t xml:space="preserve">▸  Valeurs autorisées</t>
  </si>
  <si>
    <t xml:space="preserve">Donnée</t>
  </si>
  <si>
    <t xml:space="preserve">Valeur</t>
  </si>
  <si>
    <t xml:space="preserve">Signification</t>
  </si>
  <si>
    <t xml:space="preserve">ADMIN</t>
  </si>
  <si>
    <t xml:space="preserve">Administrateur : accès total (comptes, seuils, destinataires)</t>
  </si>
  <si>
    <t xml:space="preserve">Animateur / gestionnaire : dashboard, acquittement des alertes, export</t>
  </si>
  <si>
    <t xml:space="preserve">MEDIATEUR</t>
  </si>
  <si>
    <t xml:space="preserve">Médiateur en atelier : consultation et démonstrations</t>
  </si>
  <si>
    <t xml:space="preserve">Chaleur / canicule</t>
  </si>
  <si>
    <t xml:space="preserve">FROID</t>
  </si>
  <si>
    <t xml:space="preserve">Froid / gel</t>
  </si>
  <si>
    <t xml:space="preserve">VENT_FORT</t>
  </si>
  <si>
    <t xml:space="preserve">Vent fort</t>
  </si>
  <si>
    <t xml:space="preserve">PLUIE</t>
  </si>
  <si>
    <t xml:space="preserve">Pluie</t>
  </si>
  <si>
    <t xml:space="preserve">Supérieur à</t>
  </si>
  <si>
    <t xml:space="preserve">&lt;</t>
  </si>
  <si>
    <t xml:space="preserve">Inférieur à</t>
  </si>
  <si>
    <t xml:space="preserve">DECLENCHEE</t>
  </si>
  <si>
    <t xml:space="preserve">Seuil franchi, alerte créée</t>
  </si>
  <si>
    <t xml:space="preserve">NOTIFIEE</t>
  </si>
  <si>
    <t xml:space="preserve">E-mail envoyé aux destinataires</t>
  </si>
  <si>
    <t xml:space="preserve">Prise en compte par un utilisateur</t>
  </si>
  <si>
    <t xml:space="preserve">CLOTUREE</t>
  </si>
  <si>
    <t xml:space="preserve">Situation revenue à la normale</t>
  </si>
  <si>
    <t xml:space="preserve">RESUME</t>
  </si>
  <si>
    <t xml:space="preserve">Résumé en langage naturel (écran d'accueil, e-mail)</t>
  </si>
  <si>
    <t xml:space="preserve">Prévision à court terme d'une grandeur</t>
  </si>
  <si>
    <t xml:space="preserve">INGESTION</t>
  </si>
  <si>
    <t xml:space="preserve">Réception et enregistrement d'une mesure</t>
  </si>
  <si>
    <t xml:space="preserve">Payload invalide rejeté au lieu d'être enregistré (§ 7.3)</t>
  </si>
  <si>
    <t xml:space="preserve">APPEL_IA</t>
  </si>
  <si>
    <t xml:space="preserve">Appel au module IA</t>
  </si>
  <si>
    <t xml:space="preserve">ENVOI_EMAIL</t>
  </si>
  <si>
    <t xml:space="preserve">Envoi d'un e-mail (quotidien ou alerte)</t>
  </si>
  <si>
    <t xml:space="preserve">ACTION_UTILISATEUR</t>
  </si>
  <si>
    <t xml:space="preserve">Modification faite par un utilisateur (compte, destinataire…)</t>
  </si>
  <si>
    <t xml:space="preserve">SUCCES</t>
  </si>
  <si>
    <t xml:space="preserve">Opération réussie</t>
  </si>
  <si>
    <t xml:space="preserve">Opération en erreur</t>
  </si>
  <si>
    <t xml:space="preserve">ETAT_CAPTEUR (calculée)</t>
  </si>
  <si>
    <t xml:space="preserve">Le capteur fonctionne normalement</t>
  </si>
  <si>
    <t xml:space="preserve">BATTERIE_FAIBLE</t>
  </si>
  <si>
    <t xml:space="preserve">Niveau de batterie inférieur à 20 %</t>
  </si>
  <si>
    <t xml:space="preserve">HORS_LIGNE</t>
  </si>
  <si>
    <t xml:space="preserve">Aucune mesure depuis plus de 30 minutes</t>
  </si>
  <si>
    <t xml:space="preserve">TENDANCE (calculée)</t>
  </si>
  <si>
    <t xml:space="preserve">En hausse</t>
  </si>
  <si>
    <t xml:space="preserve">BAISSE</t>
  </si>
  <si>
    <t xml:space="preserve">En baisse</t>
  </si>
  <si>
    <t xml:space="preserve">STABLE</t>
  </si>
  <si>
    <t xml:space="preserve">Stable</t>
  </si>
  <si>
    <t xml:space="preserve">▸  Contenu de la table GRANDEUR</t>
  </si>
  <si>
    <t xml:space="preserve">Remarque</t>
  </si>
  <si>
    <t xml:space="preserve">Utilisée par le seuil CHALEUR et FROID</t>
  </si>
  <si>
    <t xml:space="preserve">humidite</t>
  </si>
  <si>
    <t xml:space="preserve">Humidité relative</t>
  </si>
  <si>
    <t xml:space="preserve">%</t>
  </si>
  <si>
    <t xml:space="preserve">vent_vitesse</t>
  </si>
  <si>
    <t xml:space="preserve">Vitesse du vent</t>
  </si>
  <si>
    <t xml:space="preserve">m/s</t>
  </si>
  <si>
    <t xml:space="preserve">Utilisée par le seuil VENT_FORT</t>
  </si>
  <si>
    <t xml:space="preserve">vent_direction</t>
  </si>
  <si>
    <t xml:space="preserve">Direction du vent</t>
  </si>
  <si>
    <t xml:space="preserve">°</t>
  </si>
  <si>
    <t xml:space="preserve">precipitation</t>
  </si>
  <si>
    <t xml:space="preserve">Précipitations</t>
  </si>
  <si>
    <t xml:space="preserve">mm</t>
  </si>
  <si>
    <t xml:space="preserve">Utilisée par le seuil PLUIE</t>
  </si>
  <si>
    <t xml:space="preserve">luminosite</t>
  </si>
  <si>
    <t xml:space="preserve">Luminosité</t>
  </si>
  <si>
    <t xml:space="preserve">lux</t>
  </si>
  <si>
    <t xml:space="preserve">indice_uv</t>
  </si>
  <si>
    <t xml:space="preserve">pression_atmospherique</t>
  </si>
  <si>
    <t xml:space="preserve">Pression atmosphérique</t>
  </si>
  <si>
    <t xml:space="preserve">hPa</t>
  </si>
  <si>
    <t xml:space="preserve">niveau_batterie</t>
  </si>
  <si>
    <t xml:space="preserve">Niveau de batterie</t>
  </si>
  <si>
    <t xml:space="preserve">Santé du capteur : affichée seulement sur le dashboard interne</t>
  </si>
  <si>
    <t xml:space="preserve">qualite_signal</t>
  </si>
  <si>
    <t xml:space="preserve">Qualité du signal</t>
  </si>
  <si>
    <t xml:space="preserve">dBm</t>
  </si>
  <si>
    <t xml:space="preserve">▸  Seuils de départ proposés (table SEUIL, modifiables par l'administrateur)</t>
  </si>
  <si>
    <t xml:space="preserve">Grandeur</t>
  </si>
  <si>
    <t xml:space="preserve">Usage opérationnel</t>
  </si>
  <si>
    <t xml:space="preserve">Adapter l'accueil des publics fragiles, hydrater, déplacer l'atelier</t>
  </si>
  <si>
    <t xml:space="preserve">Protéger le matériel extérieur, prévenir les seniors</t>
  </si>
  <si>
    <t xml:space="preserve">≈ 40 km/h : ne pas monter de structure extérieure</t>
  </si>
  <si>
    <t xml:space="preserve">Basculer l'animation en salle ou la reporter</t>
  </si>
  <si>
    <t xml:space="preserve">⚠ Le client n'a volontairement donné aucun seuil : ces valeurs sont des hypothèses de départ, à valider avec lui.</t>
  </si>
  <si>
    <t xml:space="preserve">Du dictionnaire au MLD</t>
  </si>
  <si>
    <t xml:space="preserve">Associations du MCD (avec cardinalités) et leur traduction en clés étrangères dans le modèle logique.</t>
  </si>
  <si>
    <t xml:space="preserve">▸  Associations du MCD</t>
  </si>
  <si>
    <t xml:space="preserve">Card.</t>
  </si>
  <si>
    <t xml:space="preserve">Association</t>
  </si>
  <si>
    <t xml:space="preserve">Traduction dans le MLD</t>
  </si>
  <si>
    <t xml:space="preserve">1,1</t>
  </si>
  <si>
    <t xml:space="preserve">porte sur</t>
  </si>
  <si>
    <t xml:space="preserve">0,n</t>
  </si>
  <si>
    <t xml:space="preserve">code_grandeur devient clé étrangère dans seuil</t>
  </si>
  <si>
    <t xml:space="preserve">concerne</t>
  </si>
  <si>
    <t xml:space="preserve">id_seuil devient clé étrangère dans historique_seuil</t>
  </si>
  <si>
    <t xml:space="preserve">est réalisée par</t>
  </si>
  <si>
    <t xml:space="preserve">id_utilisateur devient clé étrangère dans historique_seuil</t>
  </si>
  <si>
    <t xml:space="preserve">est déclenchée par</t>
  </si>
  <si>
    <t xml:space="preserve">id_seuil devient clé étrangère dans alerte</t>
  </si>
  <si>
    <t xml:space="preserve">0,1</t>
  </si>
  <si>
    <t xml:space="preserve">est acquittée par</t>
  </si>
  <si>
    <t xml:space="preserve">id_utilisateur_acquittement devient clé étrangère (facultative) dans alerte</t>
  </si>
  <si>
    <t xml:space="preserve">prévoit</t>
  </si>
  <si>
    <t xml:space="preserve">code_grandeur devient clé étrangère (facultative, remplie pour une prévision) dans resultat_ia</t>
  </si>
  <si>
    <t xml:space="preserve">code_grandeur devient clé étrangère dans anomalie</t>
  </si>
  <si>
    <t xml:space="preserve">DESTINATAIRE n'est reliée à aucune autre entité : la liste des destinataires est indépendante des comptes utilisateurs.</t>
  </si>
  <si>
    <t xml:space="preserve">▸  Liens logiques entre SQL et MongoDB (non contrôlés par le SGBD, vérifiés par l'API)</t>
  </si>
  <si>
    <t xml:space="preserve">Côté SQL</t>
  </si>
  <si>
    <t xml:space="preserve">Côté MongoDB</t>
  </si>
  <si>
    <t xml:space="preserve">Rôle du lien</t>
  </si>
  <si>
    <t xml:space="preserve">GRANDEUR.CODE_GRANDEUR</t>
  </si>
  <si>
    <t xml:space="preserve">Nom d'un champ de MESURE</t>
  </si>
  <si>
    <t xml:space="preserve">Permet de lire la bonne valeur dans une mesure (seuils, prévisions, anomalies)</t>
  </si>
  <si>
    <t xml:space="preserve">ANOMALIE.INSTANT_MESURE_ANORMALE</t>
  </si>
  <si>
    <t xml:space="preserve">MESURE.INSTANT_MESURE</t>
  </si>
  <si>
    <t xml:space="preserve">Retrouve la mesure anormale pour la surligner sur le graphique</t>
  </si>
  <si>
    <t xml:space="preserve">▸  MLD — notation textuelle (souligné = clé primaire · # = clé étrangère)</t>
  </si>
  <si>
    <r>
      <rPr>
        <b val="true"/>
        <sz val="10"/>
        <color rgb="FF12394A"/>
        <rFont val="Arial"/>
        <family val="0"/>
        <charset val="1"/>
      </rPr>
      <t xml:space="preserve">UTILISATEUR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id_utilisateur</t>
    </r>
    <r>
      <rPr>
        <sz val="10"/>
        <color rgb="FF1E2A32"/>
        <rFont val="Arial"/>
        <family val="0"/>
        <charset val="1"/>
      </rPr>
      <t xml:space="preserve">, nom, prenom, email, mot_de_passe_hash, role, actif, token_reset_hash, token_reset_expiration, date_creation)</t>
    </r>
  </si>
  <si>
    <r>
      <rPr>
        <b val="true"/>
        <sz val="10"/>
        <color rgb="FF12394A"/>
        <rFont val="Arial"/>
        <family val="0"/>
        <charset val="1"/>
      </rPr>
      <t xml:space="preserve">GRANDEUR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code_grandeur</t>
    </r>
    <r>
      <rPr>
        <sz val="10"/>
        <color rgb="FF1E2A32"/>
        <rFont val="Arial"/>
        <family val="0"/>
        <charset val="1"/>
      </rPr>
      <t xml:space="preserve">, libelle, unite)</t>
    </r>
  </si>
  <si>
    <r>
      <rPr>
        <b val="true"/>
        <sz val="10"/>
        <color rgb="FF12394A"/>
        <rFont val="Arial"/>
        <family val="0"/>
        <charset val="1"/>
      </rPr>
      <t xml:space="preserve">SEUIL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id_seuil</t>
    </r>
    <r>
      <rPr>
        <sz val="10"/>
        <color rgb="FF1E2A32"/>
        <rFont val="Arial"/>
        <family val="0"/>
        <charset val="1"/>
      </rPr>
      <t xml:space="preserve">, type_alerte, operateur, valeur, actif, </t>
    </r>
    <r>
      <rPr>
        <b val="true"/>
        <sz val="10"/>
        <color rgb="FF1F7A8C"/>
        <rFont val="Arial"/>
        <family val="0"/>
        <charset val="1"/>
      </rPr>
      <t xml:space="preserve">#code_grandeur</t>
    </r>
    <r>
      <rPr>
        <sz val="10"/>
        <color rgb="FF1E2A32"/>
        <rFont val="Arial"/>
        <family val="0"/>
        <charset val="1"/>
      </rPr>
      <t xml:space="preserve">)</t>
    </r>
  </si>
  <si>
    <r>
      <rPr>
        <b val="true"/>
        <sz val="10"/>
        <color rgb="FF12394A"/>
        <rFont val="Arial"/>
        <family val="0"/>
        <charset val="1"/>
      </rPr>
      <t xml:space="preserve">HISTORIQUE_SEUIL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id_historique</t>
    </r>
    <r>
      <rPr>
        <sz val="10"/>
        <color rgb="FF1E2A32"/>
        <rFont val="Arial"/>
        <family val="0"/>
        <charset val="1"/>
      </rPr>
      <t xml:space="preserve">, ancienne_valeur, nouvelle_valeur, date_modification, </t>
    </r>
    <r>
      <rPr>
        <b val="true"/>
        <sz val="10"/>
        <color rgb="FF1F7A8C"/>
        <rFont val="Arial"/>
        <family val="0"/>
        <charset val="1"/>
      </rPr>
      <t xml:space="preserve">#id_seuil</t>
    </r>
    <r>
      <rPr>
        <sz val="10"/>
        <color rgb="FF1E2A32"/>
        <rFont val="Arial"/>
        <family val="0"/>
        <charset val="1"/>
      </rPr>
      <t xml:space="preserve">, </t>
    </r>
    <r>
      <rPr>
        <b val="true"/>
        <sz val="10"/>
        <color rgb="FF1F7A8C"/>
        <rFont val="Arial"/>
        <family val="0"/>
        <charset val="1"/>
      </rPr>
      <t xml:space="preserve">#id_utilisateur</t>
    </r>
    <r>
      <rPr>
        <sz val="10"/>
        <color rgb="FF1E2A32"/>
        <rFont val="Arial"/>
        <family val="0"/>
        <charset val="1"/>
      </rPr>
      <t xml:space="preserve">)</t>
    </r>
  </si>
  <si>
    <r>
      <rPr>
        <b val="true"/>
        <sz val="10"/>
        <color rgb="FF12394A"/>
        <rFont val="Arial"/>
        <family val="0"/>
        <charset val="1"/>
      </rPr>
      <t xml:space="preserve">ALERTE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id_alerte</t>
    </r>
    <r>
      <rPr>
        <sz val="10"/>
        <color rgb="FF1E2A32"/>
        <rFont val="Arial"/>
        <family val="0"/>
        <charset val="1"/>
      </rPr>
      <t xml:space="preserve">, valeur_declenchante, valeur_seuil_appliquee, date_declenchement, etat, date_notification, date_acquittement, date_cloture, </t>
    </r>
    <r>
      <rPr>
        <b val="true"/>
        <sz val="10"/>
        <color rgb="FF1F7A8C"/>
        <rFont val="Arial"/>
        <family val="0"/>
        <charset val="1"/>
      </rPr>
      <t xml:space="preserve">#id_seuil</t>
    </r>
    <r>
      <rPr>
        <sz val="10"/>
        <color rgb="FF1E2A32"/>
        <rFont val="Arial"/>
        <family val="0"/>
        <charset val="1"/>
      </rPr>
      <t xml:space="preserve">, </t>
    </r>
    <r>
      <rPr>
        <b val="true"/>
        <sz val="10"/>
        <color rgb="FF1F7A8C"/>
        <rFont val="Arial"/>
        <family val="0"/>
        <charset val="1"/>
      </rPr>
      <t xml:space="preserve">#id_utilisateur_acquittement</t>
    </r>
    <r>
      <rPr>
        <sz val="10"/>
        <color rgb="FF1E2A32"/>
        <rFont val="Arial"/>
        <family val="0"/>
        <charset val="1"/>
      </rPr>
      <t xml:space="preserve">)</t>
    </r>
  </si>
  <si>
    <r>
      <rPr>
        <b val="true"/>
        <sz val="10"/>
        <color rgb="FF12394A"/>
        <rFont val="Arial"/>
        <family val="0"/>
        <charset val="1"/>
      </rPr>
      <t xml:space="preserve">DESTINATAIRE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id_destinataire</t>
    </r>
    <r>
      <rPr>
        <sz val="10"/>
        <color rgb="FF1E2A32"/>
        <rFont val="Arial"/>
        <family val="0"/>
        <charset val="1"/>
      </rPr>
      <t xml:space="preserve">, email, recoit_email_quotidien, recoit_alertes, actif)</t>
    </r>
  </si>
  <si>
    <r>
      <rPr>
        <b val="true"/>
        <sz val="10"/>
        <color rgb="FF12394A"/>
        <rFont val="Arial"/>
        <family val="0"/>
        <charset val="1"/>
      </rPr>
      <t xml:space="preserve">RESULTAT_IA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id_resultat</t>
    </r>
    <r>
      <rPr>
        <sz val="10"/>
        <color rgb="FF1E2A32"/>
        <rFont val="Arial"/>
        <family val="0"/>
        <charset val="1"/>
      </rPr>
      <t xml:space="preserve">, type_resultat, contenu_resume, valeur_prevue, incertitude, instant_prevu, date_generation, </t>
    </r>
    <r>
      <rPr>
        <b val="true"/>
        <sz val="10"/>
        <color rgb="FF1F7A8C"/>
        <rFont val="Arial"/>
        <family val="0"/>
        <charset val="1"/>
      </rPr>
      <t xml:space="preserve">#code_grandeur</t>
    </r>
    <r>
      <rPr>
        <sz val="10"/>
        <color rgb="FF1E2A32"/>
        <rFont val="Arial"/>
        <family val="0"/>
        <charset val="1"/>
      </rPr>
      <t xml:space="preserve">)</t>
    </r>
  </si>
  <si>
    <r>
      <rPr>
        <b val="true"/>
        <sz val="10"/>
        <color rgb="FF12394A"/>
        <rFont val="Arial"/>
        <family val="0"/>
        <charset val="1"/>
      </rPr>
      <t xml:space="preserve">ANOMALIE</t>
    </r>
    <r>
      <rPr>
        <sz val="10"/>
        <color rgb="FF1E2A32"/>
        <rFont val="Arial"/>
        <family val="0"/>
        <charset val="1"/>
      </rPr>
      <t xml:space="preserve"> (</t>
    </r>
    <r>
      <rPr>
        <b val="true"/>
        <u val="single"/>
        <sz val="10"/>
        <color rgb="FF7A5300"/>
        <rFont val="Arial"/>
        <family val="0"/>
        <charset val="1"/>
      </rPr>
      <t xml:space="preserve">id_anomalie</t>
    </r>
    <r>
      <rPr>
        <sz val="10"/>
        <color rgb="FF1E2A32"/>
        <rFont val="Arial"/>
        <family val="0"/>
        <charset val="1"/>
      </rPr>
      <t xml:space="preserve">, instant_mesure, valeur_mesuree, score, date_detection, </t>
    </r>
    <r>
      <rPr>
        <b val="true"/>
        <sz val="10"/>
        <color rgb="FF1F7A8C"/>
        <rFont val="Arial"/>
        <family val="0"/>
        <charset val="1"/>
      </rPr>
      <t xml:space="preserve">#code_grandeur</t>
    </r>
    <r>
      <rPr>
        <sz val="10"/>
        <color rgb="FF1E2A32"/>
        <rFont val="Arial"/>
        <family val="0"/>
        <charset val="1"/>
      </rPr>
      <t xml:space="preserve">)</t>
    </r>
  </si>
  <si>
    <t xml:space="preserve">▸  Structure des collections MongoDB</t>
  </si>
  <si>
    <t xml:space="preserve">mesures</t>
  </si>
  <si>
    <t xml:space="preserve">{ _id, reference_capteur, instant_mesure, temperature, humidite, vent_vitesse, vent_direction, precipitation, luminosite, indice_uv, pression_atmospherique, niveau_batterie, qualite_signal, payload_brut }</t>
  </si>
  <si>
    <t xml:space="preserve">journaux</t>
  </si>
  <si>
    <t xml:space="preserve">{ _id, type_evenement, statut, date_evenement, message, detail 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</si>
</sst>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2394A"/>
      <name val="Arial"/>
      <family val="0"/>
      <charset val="1"/>
    </font>
    <font>
      <b val="true"/>
      <sz val="13"/>
      <color rgb="FF1F7A8C"/>
      <name val="Arial"/>
      <family val="0"/>
      <charset val="1"/>
    </font>
    <font>
      <i val="true"/>
      <sz val="9.5"/>
      <color rgb="FF5B6770"/>
      <name val="Arial"/>
      <family val="0"/>
      <charset val="1"/>
    </font>
    <font>
      <b val="true"/>
      <sz val="12"/>
      <color rgb="FF12394A"/>
      <name val="Arial"/>
      <family val="0"/>
      <charset val="1"/>
    </font>
    <font>
      <b val="true"/>
      <sz val="22"/>
      <color rgb="FF1F7A8C"/>
      <name val="Arial"/>
      <family val="0"/>
      <charset val="1"/>
    </font>
    <font>
      <b val="true"/>
      <sz val="22"/>
      <color rgb="FF2E7D4F"/>
      <name val="Arial"/>
      <family val="0"/>
      <charset val="1"/>
    </font>
    <font>
      <b val="true"/>
      <sz val="22"/>
      <color rgb="FF8A6414"/>
      <name val="Arial"/>
      <family val="0"/>
      <charset val="1"/>
    </font>
    <font>
      <b val="true"/>
      <sz val="9"/>
      <color rgb="FF5B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1E2A32"/>
      <name val="Arial"/>
      <family val="0"/>
      <charset val="1"/>
    </font>
    <font>
      <b val="true"/>
      <u val="single"/>
      <sz val="10"/>
      <color rgb="FF1F7A8C"/>
      <name val="Arial"/>
      <family val="0"/>
      <charset val="1"/>
    </font>
    <font>
      <b val="true"/>
      <sz val="10"/>
      <color rgb="FF7A5300"/>
      <name val="Arial"/>
      <family val="0"/>
      <charset val="1"/>
    </font>
    <font>
      <b val="true"/>
      <sz val="10"/>
      <color rgb="FF5B3E8C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b val="true"/>
      <sz val="10"/>
      <color rgb="FF8A6414"/>
      <name val="Arial"/>
      <family val="0"/>
      <charset val="1"/>
    </font>
    <font>
      <b val="true"/>
      <sz val="10"/>
      <color rgb="FFD9A44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B67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B6770"/>
      <name val="Arial"/>
      <family val="0"/>
      <charset val="1"/>
    </font>
    <font>
      <b val="true"/>
      <sz val="9.5"/>
      <color rgb="FF12394A"/>
      <name val="Consolas"/>
      <family val="0"/>
      <charset val="1"/>
    </font>
    <font>
      <b val="true"/>
      <sz val="9.5"/>
      <color rgb="FF7A5300"/>
      <name val="Arial"/>
      <family val="0"/>
      <charset val="1"/>
    </font>
    <font>
      <sz val="9"/>
      <color rgb="FF2B3A44"/>
      <name val="Consolas"/>
      <family val="0"/>
      <charset val="1"/>
    </font>
    <font>
      <b val="true"/>
      <sz val="9.5"/>
      <color rgb="FF1F7A8C"/>
      <name val="Arial"/>
      <family val="0"/>
      <charset val="1"/>
    </font>
    <font>
      <b val="true"/>
      <sz val="9.5"/>
      <color rgb="FF2E7D4F"/>
      <name val="Arial"/>
      <family val="0"/>
      <charset val="1"/>
    </font>
    <font>
      <b val="true"/>
      <sz val="9.5"/>
      <color rgb="FF5B3E8C"/>
      <name val="Arial"/>
      <family val="0"/>
      <charset val="1"/>
    </font>
    <font>
      <b val="true"/>
      <sz val="9.5"/>
      <color rgb="FF8A6414"/>
      <name val="Arial"/>
      <family val="0"/>
      <charset val="1"/>
    </font>
    <font>
      <b val="true"/>
      <sz val="9.5"/>
      <color rgb="FF1F7A8C"/>
      <name val="Consolas"/>
      <family val="0"/>
      <charset val="1"/>
    </font>
    <font>
      <b val="true"/>
      <sz val="9.5"/>
      <color rgb="FF8A6414"/>
      <name val="Consolas"/>
      <family val="0"/>
      <charset val="1"/>
    </font>
    <font>
      <b val="true"/>
      <sz val="9.5"/>
      <color rgb="FF2E7D4F"/>
      <name val="Consolas"/>
      <family val="0"/>
      <charset val="1"/>
    </font>
    <font>
      <sz val="9.5"/>
      <color rgb="FF2E7D4F"/>
      <name val="Consolas"/>
      <family val="0"/>
      <charset val="1"/>
    </font>
    <font>
      <i val="true"/>
      <sz val="9"/>
      <color rgb="FF7A5300"/>
      <name val="Arial"/>
      <family val="0"/>
      <charset val="1"/>
    </font>
    <font>
      <b val="true"/>
      <sz val="9.5"/>
      <color rgb="FF12394A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9"/>
      <color rgb="FF1F7A8C"/>
      <name val="Consolas"/>
      <family val="0"/>
      <charset val="1"/>
    </font>
    <font>
      <b val="true"/>
      <sz val="9"/>
      <color rgb="FF2E7D4F"/>
      <name val="Consolas"/>
      <family val="0"/>
      <charset val="1"/>
    </font>
    <font>
      <b val="true"/>
      <sz val="10"/>
      <color rgb="FF12394A"/>
      <name val="Arial"/>
      <family val="0"/>
      <charset val="1"/>
    </font>
    <font>
      <sz val="10"/>
      <color rgb="FF1E2A32"/>
      <name val="Arial"/>
      <family val="0"/>
      <charset val="1"/>
    </font>
    <font>
      <b val="true"/>
      <u val="single"/>
      <sz val="10"/>
      <color rgb="FF7A5300"/>
      <name val="Arial"/>
      <family val="0"/>
      <charset val="1"/>
    </font>
    <font>
      <b val="true"/>
      <sz val="10"/>
      <color rgb="FF1F7A8C"/>
      <name val="Arial"/>
      <family val="0"/>
      <charset val="1"/>
    </font>
    <font>
      <sz val="9.5"/>
      <color rgb="FF2B3A44"/>
      <name val="Consolas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4F6F8"/>
        <bgColor rgb="FFFFFFFF"/>
      </patternFill>
    </fill>
    <fill>
      <patternFill patternType="solid">
        <fgColor rgb="FF2E7D4F"/>
        <bgColor rgb="FF1F7A8C"/>
      </patternFill>
    </fill>
    <fill>
      <patternFill patternType="solid">
        <fgColor rgb="FFE4F2EA"/>
        <bgColor rgb="FFE3F1F4"/>
      </patternFill>
    </fill>
    <fill>
      <patternFill patternType="solid">
        <fgColor rgb="FF1F7A8C"/>
        <bgColor rgb="FF008080"/>
      </patternFill>
    </fill>
    <fill>
      <patternFill patternType="solid">
        <fgColor rgb="FFE3F1F4"/>
        <bgColor rgb="FFE4F2EA"/>
      </patternFill>
    </fill>
    <fill>
      <patternFill patternType="solid">
        <fgColor rgb="FF8A6414"/>
        <bgColor rgb="FF7A5300"/>
      </patternFill>
    </fill>
    <fill>
      <patternFill patternType="solid">
        <fgColor rgb="FFFBF1DC"/>
        <bgColor rgb="FFF4F6F8"/>
      </patternFill>
    </fill>
    <fill>
      <patternFill patternType="solid">
        <fgColor rgb="FFFCE3A6"/>
        <bgColor rgb="FFFFF4B8"/>
      </patternFill>
    </fill>
    <fill>
      <patternFill patternType="solid">
        <fgColor rgb="FFE6DDF3"/>
        <bgColor rgb="FFD3DAE0"/>
      </patternFill>
    </fill>
    <fill>
      <patternFill patternType="solid">
        <fgColor rgb="FFFFF4B8"/>
        <bgColor rgb="FFFBF1DC"/>
      </patternFill>
    </fill>
    <fill>
      <patternFill patternType="solid">
        <fgColor rgb="FF12394A"/>
        <bgColor rgb="FF2B3A44"/>
      </patternFill>
    </fill>
    <fill>
      <patternFill patternType="solid">
        <fgColor rgb="FFFFFFFF"/>
        <bgColor rgb="FFF4F6F8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9A441"/>
      </bottom>
      <diagonal/>
    </border>
    <border diagonalUp="false" diagonalDown="false">
      <left style="thin">
        <color rgb="FFD3DAE0"/>
      </left>
      <right style="thin">
        <color rgb="FFD3DAE0"/>
      </right>
      <top style="thick">
        <color rgb="FF1F7A8C"/>
      </top>
      <bottom/>
      <diagonal/>
    </border>
    <border diagonalUp="false" diagonalDown="false">
      <left style="thin">
        <color rgb="FFD3DAE0"/>
      </left>
      <right style="thin">
        <color rgb="FFD3DAE0"/>
      </right>
      <top style="thick">
        <color rgb="FF2E7D4F"/>
      </top>
      <bottom/>
      <diagonal/>
    </border>
    <border diagonalUp="false" diagonalDown="false">
      <left style="thin">
        <color rgb="FFD3DAE0"/>
      </left>
      <right style="thin">
        <color rgb="FFD3DAE0"/>
      </right>
      <top style="thick">
        <color rgb="FF8A6414"/>
      </top>
      <bottom/>
      <diagonal/>
    </border>
    <border diagonalUp="false" diagonalDown="false">
      <left style="thin">
        <color rgb="FFD3DAE0"/>
      </left>
      <right style="thin">
        <color rgb="FFD3DAE0"/>
      </right>
      <top/>
      <bottom style="thin">
        <color rgb="FFD3DAE0"/>
      </bottom>
      <diagonal/>
    </border>
    <border diagonalUp="false" diagonalDown="false">
      <left style="thin">
        <color rgb="FFD3DAE0"/>
      </left>
      <right style="thin">
        <color rgb="FFD3DAE0"/>
      </right>
      <top style="thin">
        <color rgb="FFD3DAE0"/>
      </top>
      <bottom style="thin">
        <color rgb="FFD3DAE0"/>
      </bottom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3" fillId="13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9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1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8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3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1" fillId="1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11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3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6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1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2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2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0" fillId="13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0" fillId="2" borderId="6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13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4" fillId="1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4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2394A"/>
          <bgColor rgb="FF000000"/>
        </patternFill>
      </fill>
    </dxf>
    <dxf>
      <fill>
        <patternFill patternType="solid">
          <fgColor rgb="FF1F7A8C"/>
          <bgColor rgb="FF000000"/>
        </patternFill>
      </fill>
    </dxf>
    <dxf>
      <fill>
        <patternFill patternType="solid">
          <fgColor rgb="FF2E7D4F"/>
          <bgColor rgb="FF000000"/>
        </patternFill>
      </fill>
    </dxf>
    <dxf>
      <fill>
        <patternFill patternType="solid">
          <fgColor rgb="FF8A641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77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E2A32"/>
          <bgColor rgb="FF000000"/>
        </patternFill>
      </fill>
    </dxf>
    <dxf>
      <fill>
        <patternFill patternType="solid">
          <fgColor rgb="FFE4F2EA"/>
          <bgColor rgb="FF000000"/>
        </patternFill>
      </fill>
    </dxf>
    <dxf>
      <fill>
        <patternFill patternType="solid">
          <fgColor rgb="FFE6DDF3"/>
          <bgColor rgb="FF000000"/>
        </patternFill>
      </fill>
    </dxf>
    <dxf>
      <fill>
        <patternFill patternType="solid">
          <fgColor rgb="FFFCE3A6"/>
          <bgColor rgb="FF000000"/>
        </patternFill>
      </fill>
    </dxf>
    <dxf>
      <fill>
        <patternFill patternType="solid">
          <fgColor rgb="FF5B3E8C"/>
          <bgColor rgb="FF000000"/>
        </patternFill>
      </fill>
    </dxf>
    <dxf>
      <fill>
        <patternFill patternType="solid">
          <fgColor rgb="FF7A5300"/>
          <bgColor rgb="FF000000"/>
        </patternFill>
      </fill>
    </dxf>
    <dxf>
      <fill>
        <patternFill patternType="solid">
          <fgColor rgb="FFFBF1DC"/>
          <bgColor rgb="FF000000"/>
        </patternFill>
      </fill>
    </dxf>
    <dxf>
      <fill>
        <patternFill patternType="solid">
          <fgColor rgb="FF2B3A44"/>
          <bgColor rgb="FF000000"/>
        </patternFill>
      </fill>
    </dxf>
    <dxf>
      <fill>
        <patternFill patternType="solid">
          <fgColor rgb="FFE3F1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4"/>
      <rgbColor rgb="FF800080"/>
      <rgbColor rgb="FF1F7A8C"/>
      <rgbColor rgb="FFE6DDF3"/>
      <rgbColor rgb="FF808080"/>
      <rgbColor rgb="FF9999FF"/>
      <rgbColor rgb="FF993366"/>
      <rgbColor rgb="FFFFF4B8"/>
      <rgbColor rgb="FFE3F1F4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2EA"/>
      <rgbColor rgb="FFF4F6F8"/>
      <rgbColor rgb="FFFBF1DC"/>
      <rgbColor rgb="FF99CCFF"/>
      <rgbColor rgb="FFFF99CC"/>
      <rgbColor rgb="FFCC99FF"/>
      <rgbColor rgb="FFFCE3A6"/>
      <rgbColor rgb="FF3366FF"/>
      <rgbColor rgb="FF33CCCC"/>
      <rgbColor rgb="FF99CC00"/>
      <rgbColor rgb="FFFFCC00"/>
      <rgbColor rgb="FFD9A441"/>
      <rgbColor rgb="FFFF6600"/>
      <rgbColor rgb="FF5B6770"/>
      <rgbColor rgb="FF969696"/>
      <rgbColor rgb="FF12394A"/>
      <rgbColor rgb="FF2E7D4F"/>
      <rgbColor rgb="FF003300"/>
      <rgbColor rgb="FF1E2A32"/>
      <rgbColor rgb="FF7A5300"/>
      <rgbColor rgb="FF993366"/>
      <rgbColor rgb="FF5B3E8C"/>
      <rgbColor rgb="FF2B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ictionnaire_Donnees_Station_Meteo_final.xlsx" TargetMode="External"/><Relationship Id="rId2" Type="http://schemas.openxmlformats.org/officeDocument/2006/relationships/hyperlink" Target="Dictionnaire_Donnees_Station_Meteo_final.xlsx" TargetMode="External"/><Relationship Id="rId3" Type="http://schemas.openxmlformats.org/officeDocument/2006/relationships/hyperlink" Target="Dictionnaire_Donnees_Station_Meteo_fina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394A"/>
    <pageSetUpPr fitToPage="true"/>
  </sheetPr>
  <dimension ref="B2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22"/>
    <col collapsed="false" customWidth="true" hidden="false" outlineLevel="0" max="6" min="6" style="0" width="50"/>
    <col collapsed="false" customWidth="true" hidden="false" outlineLevel="0" max="7" min="7" style="0" width="3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5" customFormat="false" ht="6" hidden="false" customHeight="true" outlineLevel="0" collapsed="false">
      <c r="B5" s="4"/>
      <c r="C5" s="4"/>
      <c r="D5" s="4"/>
      <c r="E5" s="4"/>
      <c r="F5" s="4"/>
    </row>
    <row r="7" customFormat="false" ht="15" hidden="false" customHeight="false" outlineLevel="0" collapsed="false">
      <c r="B7" s="5" t="s">
        <v>3</v>
      </c>
    </row>
    <row r="8" customFormat="false" ht="39.75" hidden="false" customHeight="true" outlineLevel="0" collapsed="false">
      <c r="B8" s="6" t="n">
        <f aca="false">COUNTA('MCD - MLD'!$A$21:$A$28)</f>
        <v>8</v>
      </c>
      <c r="C8" s="7" t="n">
        <f aca="false">COUNTA('MCD - MLD'!$A$31:$A$32)</f>
        <v>2</v>
      </c>
      <c r="D8" s="6" t="n">
        <f aca="false">COUNTIF(Dictionnaire!$K:$K,"SQL")</f>
        <v>47</v>
      </c>
      <c r="E8" s="7" t="n">
        <f aca="false">COUNTIF(Dictionnaire!$K:$K,"MongoDB")</f>
        <v>20</v>
      </c>
      <c r="F8" s="8" t="n">
        <f aca="false">COUNTIF(Dictionnaire!$H:$H,"Calculée")</f>
        <v>8</v>
      </c>
    </row>
    <row r="9" customFormat="false" ht="27.75" hidden="false" customHeight="true" outlineLevel="0" collapsed="false"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</row>
    <row r="11" customFormat="false" ht="15" hidden="false" customHeight="false" outlineLevel="0" collapsed="false">
      <c r="B11" s="5" t="s">
        <v>9</v>
      </c>
    </row>
    <row r="12" customFormat="false" ht="30" hidden="false" customHeight="true" outlineLevel="0" collapsed="false">
      <c r="B12" s="10" t="s">
        <v>10</v>
      </c>
      <c r="C12" s="11" t="s">
        <v>11</v>
      </c>
      <c r="D12" s="11"/>
      <c r="E12" s="11"/>
      <c r="F12" s="11"/>
    </row>
    <row r="13" customFormat="false" ht="30" hidden="false" customHeight="true" outlineLevel="0" collapsed="false">
      <c r="B13" s="12" t="s">
        <v>12</v>
      </c>
      <c r="C13" s="13" t="s">
        <v>13</v>
      </c>
      <c r="D13" s="13"/>
      <c r="E13" s="13"/>
      <c r="F13" s="13"/>
    </row>
    <row r="14" customFormat="false" ht="30" hidden="false" customHeight="true" outlineLevel="0" collapsed="false">
      <c r="B14" s="14" t="s">
        <v>14</v>
      </c>
      <c r="C14" s="15" t="s">
        <v>15</v>
      </c>
      <c r="D14" s="15"/>
      <c r="E14" s="15"/>
      <c r="F14" s="15"/>
    </row>
    <row r="16" customFormat="false" ht="15" hidden="false" customHeight="false" outlineLevel="0" collapsed="false">
      <c r="B16" s="5" t="s">
        <v>16</v>
      </c>
    </row>
    <row r="17" customFormat="false" ht="19.5" hidden="false" customHeight="true" outlineLevel="0" collapsed="false">
      <c r="B17" s="16" t="s">
        <v>17</v>
      </c>
      <c r="C17" s="17" t="s">
        <v>18</v>
      </c>
      <c r="D17" s="17"/>
      <c r="E17" s="17"/>
      <c r="F17" s="17"/>
    </row>
    <row r="18" customFormat="false" ht="19.5" hidden="false" customHeight="true" outlineLevel="0" collapsed="false">
      <c r="B18" s="16" t="s">
        <v>19</v>
      </c>
      <c r="C18" s="17" t="s">
        <v>20</v>
      </c>
      <c r="D18" s="17"/>
      <c r="E18" s="17"/>
      <c r="F18" s="17"/>
    </row>
    <row r="19" customFormat="false" ht="19.5" hidden="false" customHeight="true" outlineLevel="0" collapsed="false">
      <c r="B19" s="16" t="s">
        <v>21</v>
      </c>
      <c r="C19" s="17" t="s">
        <v>22</v>
      </c>
      <c r="D19" s="17"/>
      <c r="E19" s="17"/>
      <c r="F19" s="17"/>
    </row>
    <row r="21" customFormat="false" ht="15" hidden="false" customHeight="false" outlineLevel="0" collapsed="false">
      <c r="B21" s="5" t="s">
        <v>23</v>
      </c>
    </row>
    <row r="22" customFormat="false" ht="18" hidden="false" customHeight="true" outlineLevel="0" collapsed="false">
      <c r="B22" s="18" t="s">
        <v>24</v>
      </c>
      <c r="C22" s="19" t="s">
        <v>25</v>
      </c>
      <c r="D22" s="19"/>
      <c r="E22" s="19"/>
      <c r="F22" s="19"/>
    </row>
    <row r="23" customFormat="false" ht="18" hidden="false" customHeight="true" outlineLevel="0" collapsed="false">
      <c r="B23" s="20" t="s">
        <v>26</v>
      </c>
      <c r="C23" s="19" t="s">
        <v>27</v>
      </c>
      <c r="D23" s="19"/>
      <c r="E23" s="19"/>
      <c r="F23" s="19"/>
    </row>
    <row r="24" customFormat="false" ht="18" hidden="false" customHeight="true" outlineLevel="0" collapsed="false">
      <c r="B24" s="21" t="s">
        <v>28</v>
      </c>
      <c r="C24" s="19" t="s">
        <v>29</v>
      </c>
      <c r="D24" s="19"/>
      <c r="E24" s="19"/>
      <c r="F24" s="19"/>
    </row>
    <row r="25" customFormat="false" ht="18" hidden="false" customHeight="true" outlineLevel="0" collapsed="false">
      <c r="B25" s="22" t="s">
        <v>30</v>
      </c>
      <c r="C25" s="19" t="s">
        <v>31</v>
      </c>
      <c r="D25" s="19"/>
      <c r="E25" s="19"/>
      <c r="F25" s="19"/>
    </row>
    <row r="26" customFormat="false" ht="18" hidden="false" customHeight="true" outlineLevel="0" collapsed="false">
      <c r="B26" s="23" t="s">
        <v>32</v>
      </c>
      <c r="C26" s="19" t="s">
        <v>33</v>
      </c>
      <c r="D26" s="19"/>
      <c r="E26" s="19"/>
      <c r="F26" s="19"/>
    </row>
    <row r="28" customFormat="false" ht="15" hidden="false" customHeight="false" outlineLevel="0" collapsed="false">
      <c r="B28" s="5" t="s">
        <v>34</v>
      </c>
    </row>
    <row r="29" customFormat="false" ht="18" hidden="false" customHeight="true" outlineLevel="0" collapsed="false">
      <c r="B29" s="24" t="s">
        <v>35</v>
      </c>
      <c r="C29" s="25" t="s">
        <v>36</v>
      </c>
      <c r="D29" s="25"/>
      <c r="E29" s="25"/>
      <c r="F29" s="25"/>
    </row>
    <row r="30" customFormat="false" ht="30" hidden="false" customHeight="true" outlineLevel="0" collapsed="false">
      <c r="B30" s="24" t="s">
        <v>35</v>
      </c>
      <c r="C30" s="25" t="s">
        <v>37</v>
      </c>
      <c r="D30" s="25"/>
      <c r="E30" s="25"/>
      <c r="F30" s="25"/>
    </row>
    <row r="31" customFormat="false" ht="30" hidden="false" customHeight="true" outlineLevel="0" collapsed="false">
      <c r="B31" s="24" t="s">
        <v>35</v>
      </c>
      <c r="C31" s="25" t="s">
        <v>38</v>
      </c>
      <c r="D31" s="25"/>
      <c r="E31" s="25"/>
      <c r="F31" s="25"/>
    </row>
    <row r="32" customFormat="false" ht="18" hidden="false" customHeight="true" outlineLevel="0" collapsed="false">
      <c r="B32" s="24" t="s">
        <v>35</v>
      </c>
      <c r="C32" s="25" t="s">
        <v>39</v>
      </c>
      <c r="D32" s="25"/>
      <c r="E32" s="25"/>
      <c r="F32" s="25"/>
    </row>
    <row r="33" customFormat="false" ht="30" hidden="false" customHeight="true" outlineLevel="0" collapsed="false">
      <c r="B33" s="24" t="s">
        <v>35</v>
      </c>
      <c r="C33" s="25" t="s">
        <v>40</v>
      </c>
      <c r="D33" s="25"/>
      <c r="E33" s="25"/>
      <c r="F33" s="25"/>
    </row>
    <row r="35" customFormat="false" ht="15" hidden="false" customHeight="false" outlineLevel="0" collapsed="false">
      <c r="B35" s="5" t="s">
        <v>41</v>
      </c>
    </row>
    <row r="36" customFormat="false" ht="18" hidden="false" customHeight="true" outlineLevel="0" collapsed="false">
      <c r="B36" s="24" t="s">
        <v>35</v>
      </c>
      <c r="C36" s="25" t="s">
        <v>42</v>
      </c>
      <c r="D36" s="25"/>
      <c r="E36" s="25"/>
      <c r="F36" s="25"/>
    </row>
    <row r="37" customFormat="false" ht="18" hidden="false" customHeight="true" outlineLevel="0" collapsed="false">
      <c r="B37" s="24" t="s">
        <v>35</v>
      </c>
      <c r="C37" s="25" t="s">
        <v>43</v>
      </c>
      <c r="D37" s="25"/>
      <c r="E37" s="25"/>
      <c r="F37" s="25"/>
    </row>
    <row r="38" customFormat="false" ht="18" hidden="false" customHeight="true" outlineLevel="0" collapsed="false">
      <c r="B38" s="24" t="s">
        <v>35</v>
      </c>
      <c r="C38" s="25" t="s">
        <v>44</v>
      </c>
      <c r="D38" s="25"/>
      <c r="E38" s="25"/>
      <c r="F38" s="25"/>
    </row>
    <row r="39" customFormat="false" ht="30" hidden="false" customHeight="true" outlineLevel="0" collapsed="false">
      <c r="B39" s="24" t="s">
        <v>35</v>
      </c>
      <c r="C39" s="25" t="s">
        <v>45</v>
      </c>
      <c r="D39" s="25"/>
      <c r="E39" s="25"/>
      <c r="F39" s="25"/>
    </row>
    <row r="40" customFormat="false" ht="30" hidden="false" customHeight="true" outlineLevel="0" collapsed="false">
      <c r="B40" s="24" t="s">
        <v>35</v>
      </c>
      <c r="C40" s="25" t="s">
        <v>46</v>
      </c>
      <c r="D40" s="25"/>
      <c r="E40" s="25"/>
      <c r="F40" s="25"/>
    </row>
    <row r="41" customFormat="false" ht="18" hidden="false" customHeight="true" outlineLevel="0" collapsed="false">
      <c r="B41" s="24" t="s">
        <v>35</v>
      </c>
      <c r="C41" s="25" t="s">
        <v>47</v>
      </c>
      <c r="D41" s="25"/>
      <c r="E41" s="25"/>
      <c r="F41" s="25"/>
    </row>
    <row r="42" customFormat="false" ht="18" hidden="false" customHeight="true" outlineLevel="0" collapsed="false">
      <c r="B42" s="24" t="s">
        <v>35</v>
      </c>
      <c r="C42" s="25" t="s">
        <v>48</v>
      </c>
      <c r="D42" s="25"/>
      <c r="E42" s="25"/>
      <c r="F42" s="25"/>
    </row>
    <row r="43" customFormat="false" ht="18" hidden="false" customHeight="true" outlineLevel="0" collapsed="false">
      <c r="B43" s="24" t="s">
        <v>35</v>
      </c>
      <c r="C43" s="25" t="s">
        <v>49</v>
      </c>
      <c r="D43" s="25"/>
      <c r="E43" s="25"/>
      <c r="F43" s="25"/>
    </row>
  </sheetData>
  <mergeCells count="27">
    <mergeCell ref="B2:F2"/>
    <mergeCell ref="B3:F3"/>
    <mergeCell ref="B4:F4"/>
    <mergeCell ref="C12:F12"/>
    <mergeCell ref="C13:F13"/>
    <mergeCell ref="C14:F14"/>
    <mergeCell ref="C17:F17"/>
    <mergeCell ref="C18:F18"/>
    <mergeCell ref="C19:F19"/>
    <mergeCell ref="C22:F22"/>
    <mergeCell ref="C23:F23"/>
    <mergeCell ref="C24:F24"/>
    <mergeCell ref="C25:F25"/>
    <mergeCell ref="C26:F26"/>
    <mergeCell ref="C29:F29"/>
    <mergeCell ref="C30:F30"/>
    <mergeCell ref="C31:F31"/>
    <mergeCell ref="C32:F32"/>
    <mergeCell ref="C33:F33"/>
    <mergeCell ref="C36:F36"/>
    <mergeCell ref="C37:F37"/>
    <mergeCell ref="C38:F38"/>
    <mergeCell ref="C39:F39"/>
    <mergeCell ref="C40:F40"/>
    <mergeCell ref="C41:F41"/>
    <mergeCell ref="C42:F42"/>
    <mergeCell ref="C43:F43"/>
  </mergeCells>
  <hyperlinks>
    <hyperlink ref="B17" r:id="rId1" location="'Dictionnaire'!A1" display="Dictionnaire"/>
    <hyperlink ref="B18" r:id="rId2" location="'Listes%20de%20valeurs'!A1" display="Listes de valeurs"/>
    <hyperlink ref="B19" r:id="rId3" location="'MCD%20-%20MLD'!A1" display="MCD - MLD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Dictionnaire de données — Station météo connectée intelligente —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8C"/>
    <pageSetUpPr fitToPage="true"/>
  </sheetPr>
  <dimension ref="A1:K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7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56"/>
    <col collapsed="false" customWidth="true" hidden="false" outlineLevel="0" max="10" min="10" style="0" width="30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26" t="s">
        <v>50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customFormat="false" ht="21.75" hidden="false" customHeight="true" outlineLevel="0" collapsed="false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customFormat="false" ht="7.5" hidden="false" customHeight="true" outlineLevel="0" collapsed="false"/>
    <row r="4" customFormat="false" ht="30" hidden="false" customHeight="true" outlineLevel="0" collapsed="false">
      <c r="A4" s="28" t="s">
        <v>52</v>
      </c>
      <c r="B4" s="28" t="s">
        <v>53</v>
      </c>
      <c r="C4" s="28" t="s">
        <v>54</v>
      </c>
      <c r="D4" s="28" t="s">
        <v>55</v>
      </c>
      <c r="E4" s="28" t="s">
        <v>56</v>
      </c>
      <c r="F4" s="28" t="s">
        <v>57</v>
      </c>
      <c r="G4" s="28" t="s">
        <v>58</v>
      </c>
      <c r="H4" s="28" t="s">
        <v>59</v>
      </c>
      <c r="I4" s="28" t="s">
        <v>60</v>
      </c>
      <c r="J4" s="28" t="s">
        <v>61</v>
      </c>
      <c r="K4" s="28" t="s">
        <v>62</v>
      </c>
    </row>
    <row r="5" customFormat="false" ht="24" hidden="false" customHeight="true" outlineLevel="0" collapsed="false">
      <c r="A5" s="29" t="s">
        <v>63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customFormat="false" ht="19.5" hidden="false" customHeight="true" outlineLevel="0" collapsed="false">
      <c r="A6" s="30" t="n">
        <v>1</v>
      </c>
      <c r="B6" s="31" t="s">
        <v>64</v>
      </c>
      <c r="C6" s="32" t="s">
        <v>65</v>
      </c>
      <c r="D6" s="33" t="s">
        <v>66</v>
      </c>
      <c r="E6" s="32" t="s">
        <v>67</v>
      </c>
      <c r="F6" s="34" t="s">
        <v>68</v>
      </c>
      <c r="G6" s="35" t="s">
        <v>24</v>
      </c>
      <c r="H6" s="34" t="s">
        <v>69</v>
      </c>
      <c r="I6" s="32" t="s">
        <v>70</v>
      </c>
      <c r="J6" s="36" t="s">
        <v>71</v>
      </c>
      <c r="K6" s="37" t="s">
        <v>72</v>
      </c>
    </row>
    <row r="7" customFormat="false" ht="19.5" hidden="false" customHeight="true" outlineLevel="0" collapsed="false">
      <c r="A7" s="38" t="n">
        <v>2</v>
      </c>
      <c r="B7" s="39" t="s">
        <v>64</v>
      </c>
      <c r="C7" s="40" t="s">
        <v>73</v>
      </c>
      <c r="D7" s="41" t="s">
        <v>74</v>
      </c>
      <c r="E7" s="40" t="s">
        <v>75</v>
      </c>
      <c r="F7" s="42" t="s">
        <v>76</v>
      </c>
      <c r="G7" s="43" t="s">
        <v>28</v>
      </c>
      <c r="H7" s="42" t="s">
        <v>69</v>
      </c>
      <c r="I7" s="40"/>
      <c r="J7" s="44" t="s">
        <v>77</v>
      </c>
      <c r="K7" s="37" t="s">
        <v>72</v>
      </c>
    </row>
    <row r="8" customFormat="false" ht="19.5" hidden="false" customHeight="true" outlineLevel="0" collapsed="false">
      <c r="A8" s="30" t="n">
        <v>3</v>
      </c>
      <c r="B8" s="31" t="s">
        <v>64</v>
      </c>
      <c r="C8" s="32" t="s">
        <v>78</v>
      </c>
      <c r="D8" s="33" t="s">
        <v>79</v>
      </c>
      <c r="E8" s="32" t="s">
        <v>75</v>
      </c>
      <c r="F8" s="34" t="s">
        <v>76</v>
      </c>
      <c r="G8" s="43" t="s">
        <v>28</v>
      </c>
      <c r="H8" s="34" t="s">
        <v>69</v>
      </c>
      <c r="I8" s="32"/>
      <c r="J8" s="36" t="s">
        <v>80</v>
      </c>
      <c r="K8" s="37" t="s">
        <v>72</v>
      </c>
    </row>
    <row r="9" customFormat="false" ht="30.75" hidden="false" customHeight="true" outlineLevel="0" collapsed="false">
      <c r="A9" s="38" t="n">
        <v>4</v>
      </c>
      <c r="B9" s="39" t="s">
        <v>64</v>
      </c>
      <c r="C9" s="40" t="s">
        <v>81</v>
      </c>
      <c r="D9" s="41" t="s">
        <v>82</v>
      </c>
      <c r="E9" s="40" t="s">
        <v>75</v>
      </c>
      <c r="F9" s="42" t="s">
        <v>83</v>
      </c>
      <c r="G9" s="45" t="s">
        <v>26</v>
      </c>
      <c r="H9" s="42" t="s">
        <v>69</v>
      </c>
      <c r="I9" s="40" t="s">
        <v>84</v>
      </c>
      <c r="J9" s="44" t="s">
        <v>85</v>
      </c>
      <c r="K9" s="37" t="s">
        <v>72</v>
      </c>
    </row>
    <row r="10" customFormat="false" ht="19.5" hidden="false" customHeight="true" outlineLevel="0" collapsed="false">
      <c r="A10" s="30" t="n">
        <v>5</v>
      </c>
      <c r="B10" s="31" t="s">
        <v>64</v>
      </c>
      <c r="C10" s="32" t="s">
        <v>86</v>
      </c>
      <c r="D10" s="33" t="s">
        <v>87</v>
      </c>
      <c r="E10" s="32" t="s">
        <v>75</v>
      </c>
      <c r="F10" s="34" t="s">
        <v>83</v>
      </c>
      <c r="G10" s="43" t="s">
        <v>28</v>
      </c>
      <c r="H10" s="34" t="s">
        <v>69</v>
      </c>
      <c r="I10" s="32" t="s">
        <v>88</v>
      </c>
      <c r="J10" s="36" t="s">
        <v>89</v>
      </c>
      <c r="K10" s="37" t="s">
        <v>72</v>
      </c>
    </row>
    <row r="11" customFormat="false" ht="30.75" hidden="false" customHeight="true" outlineLevel="0" collapsed="false">
      <c r="A11" s="38" t="n">
        <v>6</v>
      </c>
      <c r="B11" s="39" t="s">
        <v>64</v>
      </c>
      <c r="C11" s="40" t="s">
        <v>90</v>
      </c>
      <c r="D11" s="41" t="s">
        <v>91</v>
      </c>
      <c r="E11" s="40" t="s">
        <v>92</v>
      </c>
      <c r="F11" s="42" t="s">
        <v>68</v>
      </c>
      <c r="G11" s="43" t="s">
        <v>28</v>
      </c>
      <c r="H11" s="42" t="s">
        <v>69</v>
      </c>
      <c r="I11" s="40" t="s">
        <v>93</v>
      </c>
      <c r="J11" s="44" t="s">
        <v>94</v>
      </c>
      <c r="K11" s="37" t="s">
        <v>72</v>
      </c>
    </row>
    <row r="12" customFormat="false" ht="30.75" hidden="false" customHeight="true" outlineLevel="0" collapsed="false">
      <c r="A12" s="30" t="n">
        <v>7</v>
      </c>
      <c r="B12" s="31" t="s">
        <v>64</v>
      </c>
      <c r="C12" s="32" t="s">
        <v>95</v>
      </c>
      <c r="D12" s="33" t="s">
        <v>96</v>
      </c>
      <c r="E12" s="32" t="s">
        <v>97</v>
      </c>
      <c r="F12" s="34" t="s">
        <v>68</v>
      </c>
      <c r="G12" s="43" t="s">
        <v>28</v>
      </c>
      <c r="H12" s="34" t="s">
        <v>69</v>
      </c>
      <c r="I12" s="32" t="s">
        <v>98</v>
      </c>
      <c r="J12" s="36" t="s">
        <v>99</v>
      </c>
      <c r="K12" s="37" t="s">
        <v>72</v>
      </c>
    </row>
    <row r="13" customFormat="false" ht="30.75" hidden="false" customHeight="true" outlineLevel="0" collapsed="false">
      <c r="A13" s="38" t="n">
        <v>8</v>
      </c>
      <c r="B13" s="39" t="s">
        <v>64</v>
      </c>
      <c r="C13" s="40" t="s">
        <v>100</v>
      </c>
      <c r="D13" s="41" t="s">
        <v>101</v>
      </c>
      <c r="E13" s="40" t="s">
        <v>75</v>
      </c>
      <c r="F13" s="42" t="s">
        <v>102</v>
      </c>
      <c r="G13" s="42" t="s">
        <v>103</v>
      </c>
      <c r="H13" s="42" t="s">
        <v>69</v>
      </c>
      <c r="I13" s="40" t="s">
        <v>104</v>
      </c>
      <c r="J13" s="44" t="s">
        <v>105</v>
      </c>
      <c r="K13" s="37" t="s">
        <v>72</v>
      </c>
    </row>
    <row r="14" customFormat="false" ht="19.5" hidden="false" customHeight="true" outlineLevel="0" collapsed="false">
      <c r="A14" s="30" t="n">
        <v>9</v>
      </c>
      <c r="B14" s="31" t="s">
        <v>64</v>
      </c>
      <c r="C14" s="32" t="s">
        <v>106</v>
      </c>
      <c r="D14" s="33" t="s">
        <v>107</v>
      </c>
      <c r="E14" s="32" t="s">
        <v>108</v>
      </c>
      <c r="F14" s="34" t="s">
        <v>68</v>
      </c>
      <c r="G14" s="34" t="s">
        <v>103</v>
      </c>
      <c r="H14" s="34" t="s">
        <v>69</v>
      </c>
      <c r="I14" s="32" t="s">
        <v>109</v>
      </c>
      <c r="J14" s="36" t="s">
        <v>110</v>
      </c>
      <c r="K14" s="37" t="s">
        <v>72</v>
      </c>
    </row>
    <row r="15" customFormat="false" ht="19.5" hidden="false" customHeight="true" outlineLevel="0" collapsed="false">
      <c r="A15" s="38" t="n">
        <v>10</v>
      </c>
      <c r="B15" s="39" t="s">
        <v>64</v>
      </c>
      <c r="C15" s="40" t="s">
        <v>111</v>
      </c>
      <c r="D15" s="41" t="s">
        <v>112</v>
      </c>
      <c r="E15" s="40" t="s">
        <v>108</v>
      </c>
      <c r="F15" s="42" t="s">
        <v>68</v>
      </c>
      <c r="G15" s="43" t="s">
        <v>28</v>
      </c>
      <c r="H15" s="42" t="s">
        <v>69</v>
      </c>
      <c r="I15" s="40" t="s">
        <v>113</v>
      </c>
      <c r="J15" s="44" t="s">
        <v>114</v>
      </c>
      <c r="K15" s="37" t="s">
        <v>72</v>
      </c>
    </row>
    <row r="16" customFormat="false" ht="24" hidden="false" customHeight="true" outlineLevel="0" collapsed="false">
      <c r="A16" s="29" t="s">
        <v>115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customFormat="false" ht="19.5" hidden="false" customHeight="true" outlineLevel="0" collapsed="false">
      <c r="A17" s="30" t="n">
        <v>11</v>
      </c>
      <c r="B17" s="31" t="s">
        <v>116</v>
      </c>
      <c r="C17" s="32" t="s">
        <v>117</v>
      </c>
      <c r="D17" s="33" t="s">
        <v>118</v>
      </c>
      <c r="E17" s="32" t="s">
        <v>75</v>
      </c>
      <c r="F17" s="34" t="s">
        <v>119</v>
      </c>
      <c r="G17" s="35" t="s">
        <v>24</v>
      </c>
      <c r="H17" s="34" t="s">
        <v>69</v>
      </c>
      <c r="I17" s="32" t="s">
        <v>120</v>
      </c>
      <c r="J17" s="36" t="s">
        <v>121</v>
      </c>
      <c r="K17" s="37" t="s">
        <v>72</v>
      </c>
    </row>
    <row r="18" customFormat="false" ht="19.5" hidden="false" customHeight="true" outlineLevel="0" collapsed="false">
      <c r="A18" s="38" t="n">
        <v>12</v>
      </c>
      <c r="B18" s="39" t="s">
        <v>116</v>
      </c>
      <c r="C18" s="40" t="s">
        <v>122</v>
      </c>
      <c r="D18" s="41" t="s">
        <v>123</v>
      </c>
      <c r="E18" s="40" t="s">
        <v>75</v>
      </c>
      <c r="F18" s="42" t="s">
        <v>76</v>
      </c>
      <c r="G18" s="43" t="s">
        <v>28</v>
      </c>
      <c r="H18" s="42" t="s">
        <v>69</v>
      </c>
      <c r="I18" s="40" t="s">
        <v>124</v>
      </c>
      <c r="J18" s="44" t="s">
        <v>125</v>
      </c>
      <c r="K18" s="37" t="s">
        <v>72</v>
      </c>
    </row>
    <row r="19" customFormat="false" ht="19.5" hidden="false" customHeight="true" outlineLevel="0" collapsed="false">
      <c r="A19" s="30" t="n">
        <v>13</v>
      </c>
      <c r="B19" s="31" t="s">
        <v>116</v>
      </c>
      <c r="C19" s="32" t="s">
        <v>126</v>
      </c>
      <c r="D19" s="33" t="s">
        <v>127</v>
      </c>
      <c r="E19" s="32" t="s">
        <v>75</v>
      </c>
      <c r="F19" s="34" t="s">
        <v>128</v>
      </c>
      <c r="G19" s="43" t="s">
        <v>28</v>
      </c>
      <c r="H19" s="34" t="s">
        <v>69</v>
      </c>
      <c r="I19" s="32"/>
      <c r="J19" s="36" t="s">
        <v>129</v>
      </c>
      <c r="K19" s="37" t="s">
        <v>72</v>
      </c>
    </row>
    <row r="20" customFormat="false" ht="24" hidden="false" customHeight="true" outlineLevel="0" collapsed="false">
      <c r="A20" s="29" t="s">
        <v>130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customFormat="false" ht="19.5" hidden="false" customHeight="true" outlineLevel="0" collapsed="false">
      <c r="A21" s="30" t="n">
        <v>14</v>
      </c>
      <c r="B21" s="31" t="s">
        <v>131</v>
      </c>
      <c r="C21" s="32" t="s">
        <v>132</v>
      </c>
      <c r="D21" s="33" t="s">
        <v>133</v>
      </c>
      <c r="E21" s="32" t="s">
        <v>67</v>
      </c>
      <c r="F21" s="34" t="s">
        <v>68</v>
      </c>
      <c r="G21" s="35" t="s">
        <v>24</v>
      </c>
      <c r="H21" s="34" t="s">
        <v>69</v>
      </c>
      <c r="I21" s="32" t="s">
        <v>70</v>
      </c>
      <c r="J21" s="36" t="s">
        <v>134</v>
      </c>
      <c r="K21" s="37" t="s">
        <v>72</v>
      </c>
    </row>
    <row r="22" customFormat="false" ht="19.5" hidden="false" customHeight="true" outlineLevel="0" collapsed="false">
      <c r="A22" s="38" t="n">
        <v>15</v>
      </c>
      <c r="B22" s="39" t="s">
        <v>131</v>
      </c>
      <c r="C22" s="40" t="s">
        <v>135</v>
      </c>
      <c r="D22" s="41" t="s">
        <v>136</v>
      </c>
      <c r="E22" s="40" t="s">
        <v>92</v>
      </c>
      <c r="F22" s="42" t="s">
        <v>68</v>
      </c>
      <c r="G22" s="45" t="s">
        <v>26</v>
      </c>
      <c r="H22" s="42" t="s">
        <v>69</v>
      </c>
      <c r="I22" s="40" t="s">
        <v>137</v>
      </c>
      <c r="J22" s="44" t="s">
        <v>138</v>
      </c>
      <c r="K22" s="37" t="s">
        <v>72</v>
      </c>
    </row>
    <row r="23" customFormat="false" ht="19.5" hidden="false" customHeight="true" outlineLevel="0" collapsed="false">
      <c r="A23" s="30" t="n">
        <v>16</v>
      </c>
      <c r="B23" s="31" t="s">
        <v>131</v>
      </c>
      <c r="C23" s="32" t="s">
        <v>139</v>
      </c>
      <c r="D23" s="33" t="s">
        <v>140</v>
      </c>
      <c r="E23" s="32" t="s">
        <v>92</v>
      </c>
      <c r="F23" s="34" t="s">
        <v>68</v>
      </c>
      <c r="G23" s="43" t="s">
        <v>28</v>
      </c>
      <c r="H23" s="34" t="s">
        <v>69</v>
      </c>
      <c r="I23" s="32" t="s">
        <v>141</v>
      </c>
      <c r="J23" s="36" t="s">
        <v>142</v>
      </c>
      <c r="K23" s="37" t="s">
        <v>72</v>
      </c>
    </row>
    <row r="24" customFormat="false" ht="19.5" hidden="false" customHeight="true" outlineLevel="0" collapsed="false">
      <c r="A24" s="38" t="n">
        <v>17</v>
      </c>
      <c r="B24" s="39" t="s">
        <v>131</v>
      </c>
      <c r="C24" s="40" t="s">
        <v>143</v>
      </c>
      <c r="D24" s="41" t="s">
        <v>144</v>
      </c>
      <c r="E24" s="40" t="s">
        <v>145</v>
      </c>
      <c r="F24" s="42" t="s">
        <v>146</v>
      </c>
      <c r="G24" s="43" t="s">
        <v>28</v>
      </c>
      <c r="H24" s="42" t="s">
        <v>69</v>
      </c>
      <c r="I24" s="40" t="s">
        <v>147</v>
      </c>
      <c r="J24" s="44" t="s">
        <v>148</v>
      </c>
      <c r="K24" s="37" t="s">
        <v>72</v>
      </c>
    </row>
    <row r="25" customFormat="false" ht="19.5" hidden="false" customHeight="true" outlineLevel="0" collapsed="false">
      <c r="A25" s="30" t="n">
        <v>18</v>
      </c>
      <c r="B25" s="31" t="s">
        <v>131</v>
      </c>
      <c r="C25" s="32" t="s">
        <v>149</v>
      </c>
      <c r="D25" s="33" t="s">
        <v>150</v>
      </c>
      <c r="E25" s="32" t="s">
        <v>97</v>
      </c>
      <c r="F25" s="34" t="s">
        <v>68</v>
      </c>
      <c r="G25" s="43" t="s">
        <v>28</v>
      </c>
      <c r="H25" s="34" t="s">
        <v>69</v>
      </c>
      <c r="I25" s="32" t="s">
        <v>151</v>
      </c>
      <c r="J25" s="36" t="s">
        <v>99</v>
      </c>
      <c r="K25" s="37" t="s">
        <v>72</v>
      </c>
    </row>
    <row r="26" customFormat="false" ht="24" hidden="false" customHeight="true" outlineLevel="0" collapsed="false">
      <c r="A26" s="29" t="s">
        <v>152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customFormat="false" ht="19.5" hidden="false" customHeight="true" outlineLevel="0" collapsed="false">
      <c r="A27" s="30" t="n">
        <v>19</v>
      </c>
      <c r="B27" s="31" t="s">
        <v>153</v>
      </c>
      <c r="C27" s="32" t="s">
        <v>154</v>
      </c>
      <c r="D27" s="33" t="s">
        <v>155</v>
      </c>
      <c r="E27" s="32" t="s">
        <v>67</v>
      </c>
      <c r="F27" s="34" t="s">
        <v>68</v>
      </c>
      <c r="G27" s="35" t="s">
        <v>24</v>
      </c>
      <c r="H27" s="34" t="s">
        <v>69</v>
      </c>
      <c r="I27" s="32" t="s">
        <v>70</v>
      </c>
      <c r="J27" s="36" t="s">
        <v>156</v>
      </c>
      <c r="K27" s="37" t="s">
        <v>72</v>
      </c>
    </row>
    <row r="28" customFormat="false" ht="19.5" hidden="false" customHeight="true" outlineLevel="0" collapsed="false">
      <c r="A28" s="38" t="n">
        <v>20</v>
      </c>
      <c r="B28" s="39" t="s">
        <v>153</v>
      </c>
      <c r="C28" s="40" t="s">
        <v>157</v>
      </c>
      <c r="D28" s="41" t="s">
        <v>158</v>
      </c>
      <c r="E28" s="40" t="s">
        <v>145</v>
      </c>
      <c r="F28" s="42" t="s">
        <v>146</v>
      </c>
      <c r="G28" s="42" t="s">
        <v>103</v>
      </c>
      <c r="H28" s="42" t="s">
        <v>69</v>
      </c>
      <c r="I28" s="40" t="s">
        <v>159</v>
      </c>
      <c r="J28" s="44" t="s">
        <v>160</v>
      </c>
      <c r="K28" s="37" t="s">
        <v>72</v>
      </c>
    </row>
    <row r="29" customFormat="false" ht="19.5" hidden="false" customHeight="true" outlineLevel="0" collapsed="false">
      <c r="A29" s="30" t="n">
        <v>21</v>
      </c>
      <c r="B29" s="31" t="s">
        <v>153</v>
      </c>
      <c r="C29" s="32" t="s">
        <v>161</v>
      </c>
      <c r="D29" s="33" t="s">
        <v>162</v>
      </c>
      <c r="E29" s="32" t="s">
        <v>145</v>
      </c>
      <c r="F29" s="34" t="s">
        <v>146</v>
      </c>
      <c r="G29" s="43" t="s">
        <v>28</v>
      </c>
      <c r="H29" s="34" t="s">
        <v>69</v>
      </c>
      <c r="I29" s="32"/>
      <c r="J29" s="36" t="s">
        <v>148</v>
      </c>
      <c r="K29" s="37" t="s">
        <v>72</v>
      </c>
    </row>
    <row r="30" customFormat="false" ht="19.5" hidden="false" customHeight="true" outlineLevel="0" collapsed="false">
      <c r="A30" s="38" t="n">
        <v>22</v>
      </c>
      <c r="B30" s="39" t="s">
        <v>153</v>
      </c>
      <c r="C30" s="40" t="s">
        <v>163</v>
      </c>
      <c r="D30" s="41" t="s">
        <v>164</v>
      </c>
      <c r="E30" s="40" t="s">
        <v>108</v>
      </c>
      <c r="F30" s="42" t="s">
        <v>68</v>
      </c>
      <c r="G30" s="43" t="s">
        <v>28</v>
      </c>
      <c r="H30" s="42" t="s">
        <v>69</v>
      </c>
      <c r="I30" s="40" t="s">
        <v>113</v>
      </c>
      <c r="J30" s="44" t="s">
        <v>165</v>
      </c>
      <c r="K30" s="37" t="s">
        <v>72</v>
      </c>
    </row>
    <row r="31" customFormat="false" ht="24" hidden="false" customHeight="true" outlineLevel="0" collapsed="false">
      <c r="A31" s="29" t="s">
        <v>166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customFormat="false" ht="19.5" hidden="false" customHeight="true" outlineLevel="0" collapsed="false">
      <c r="A32" s="30" t="n">
        <v>23</v>
      </c>
      <c r="B32" s="31" t="s">
        <v>167</v>
      </c>
      <c r="C32" s="32" t="s">
        <v>168</v>
      </c>
      <c r="D32" s="33" t="s">
        <v>169</v>
      </c>
      <c r="E32" s="32" t="s">
        <v>67</v>
      </c>
      <c r="F32" s="34" t="s">
        <v>68</v>
      </c>
      <c r="G32" s="35" t="s">
        <v>24</v>
      </c>
      <c r="H32" s="34" t="s">
        <v>69</v>
      </c>
      <c r="I32" s="32" t="s">
        <v>70</v>
      </c>
      <c r="J32" s="36" t="s">
        <v>170</v>
      </c>
      <c r="K32" s="37" t="s">
        <v>72</v>
      </c>
    </row>
    <row r="33" customFormat="false" ht="19.5" hidden="false" customHeight="true" outlineLevel="0" collapsed="false">
      <c r="A33" s="38" t="n">
        <v>24</v>
      </c>
      <c r="B33" s="39" t="s">
        <v>167</v>
      </c>
      <c r="C33" s="40" t="s">
        <v>171</v>
      </c>
      <c r="D33" s="41" t="s">
        <v>172</v>
      </c>
      <c r="E33" s="40" t="s">
        <v>145</v>
      </c>
      <c r="F33" s="42" t="s">
        <v>146</v>
      </c>
      <c r="G33" s="43" t="s">
        <v>28</v>
      </c>
      <c r="H33" s="42" t="s">
        <v>69</v>
      </c>
      <c r="I33" s="40" t="s">
        <v>173</v>
      </c>
      <c r="J33" s="44" t="s">
        <v>174</v>
      </c>
      <c r="K33" s="37" t="s">
        <v>72</v>
      </c>
    </row>
    <row r="34" customFormat="false" ht="30.75" hidden="false" customHeight="true" outlineLevel="0" collapsed="false">
      <c r="A34" s="30" t="n">
        <v>25</v>
      </c>
      <c r="B34" s="31" t="s">
        <v>167</v>
      </c>
      <c r="C34" s="32" t="s">
        <v>175</v>
      </c>
      <c r="D34" s="33" t="s">
        <v>176</v>
      </c>
      <c r="E34" s="32" t="s">
        <v>145</v>
      </c>
      <c r="F34" s="34" t="s">
        <v>146</v>
      </c>
      <c r="G34" s="43" t="s">
        <v>28</v>
      </c>
      <c r="H34" s="34" t="s">
        <v>69</v>
      </c>
      <c r="I34" s="32" t="s">
        <v>177</v>
      </c>
      <c r="J34" s="36" t="s">
        <v>178</v>
      </c>
      <c r="K34" s="37" t="s">
        <v>72</v>
      </c>
    </row>
    <row r="35" customFormat="false" ht="19.5" hidden="false" customHeight="true" outlineLevel="0" collapsed="false">
      <c r="A35" s="38" t="n">
        <v>26</v>
      </c>
      <c r="B35" s="39" t="s">
        <v>167</v>
      </c>
      <c r="C35" s="40" t="s">
        <v>179</v>
      </c>
      <c r="D35" s="41" t="s">
        <v>180</v>
      </c>
      <c r="E35" s="40" t="s">
        <v>108</v>
      </c>
      <c r="F35" s="42" t="s">
        <v>68</v>
      </c>
      <c r="G35" s="43" t="s">
        <v>28</v>
      </c>
      <c r="H35" s="42" t="s">
        <v>69</v>
      </c>
      <c r="I35" s="40"/>
      <c r="J35" s="44" t="s">
        <v>181</v>
      </c>
      <c r="K35" s="37" t="s">
        <v>72</v>
      </c>
    </row>
    <row r="36" customFormat="false" ht="44.25" hidden="false" customHeight="true" outlineLevel="0" collapsed="false">
      <c r="A36" s="30" t="n">
        <v>27</v>
      </c>
      <c r="B36" s="31" t="s">
        <v>167</v>
      </c>
      <c r="C36" s="32" t="s">
        <v>182</v>
      </c>
      <c r="D36" s="33" t="s">
        <v>183</v>
      </c>
      <c r="E36" s="32" t="s">
        <v>92</v>
      </c>
      <c r="F36" s="34" t="s">
        <v>68</v>
      </c>
      <c r="G36" s="43" t="s">
        <v>28</v>
      </c>
      <c r="H36" s="34" t="s">
        <v>69</v>
      </c>
      <c r="I36" s="32" t="s">
        <v>184</v>
      </c>
      <c r="J36" s="36" t="s">
        <v>185</v>
      </c>
      <c r="K36" s="37" t="s">
        <v>72</v>
      </c>
    </row>
    <row r="37" customFormat="false" ht="19.5" hidden="false" customHeight="true" outlineLevel="0" collapsed="false">
      <c r="A37" s="38" t="n">
        <v>28</v>
      </c>
      <c r="B37" s="39" t="s">
        <v>167</v>
      </c>
      <c r="C37" s="40" t="s">
        <v>186</v>
      </c>
      <c r="D37" s="41" t="s">
        <v>187</v>
      </c>
      <c r="E37" s="40" t="s">
        <v>108</v>
      </c>
      <c r="F37" s="42" t="s">
        <v>68</v>
      </c>
      <c r="G37" s="42" t="s">
        <v>103</v>
      </c>
      <c r="H37" s="42" t="s">
        <v>69</v>
      </c>
      <c r="I37" s="40" t="s">
        <v>188</v>
      </c>
      <c r="J37" s="44" t="s">
        <v>181</v>
      </c>
      <c r="K37" s="37" t="s">
        <v>72</v>
      </c>
    </row>
    <row r="38" customFormat="false" ht="19.5" hidden="false" customHeight="true" outlineLevel="0" collapsed="false">
      <c r="A38" s="30" t="n">
        <v>29</v>
      </c>
      <c r="B38" s="31" t="s">
        <v>167</v>
      </c>
      <c r="C38" s="32" t="s">
        <v>189</v>
      </c>
      <c r="D38" s="33" t="s">
        <v>190</v>
      </c>
      <c r="E38" s="32" t="s">
        <v>108</v>
      </c>
      <c r="F38" s="34" t="s">
        <v>68</v>
      </c>
      <c r="G38" s="34" t="s">
        <v>103</v>
      </c>
      <c r="H38" s="34" t="s">
        <v>69</v>
      </c>
      <c r="I38" s="32" t="s">
        <v>191</v>
      </c>
      <c r="J38" s="36" t="s">
        <v>192</v>
      </c>
      <c r="K38" s="37" t="s">
        <v>72</v>
      </c>
    </row>
    <row r="39" customFormat="false" ht="19.5" hidden="false" customHeight="true" outlineLevel="0" collapsed="false">
      <c r="A39" s="38" t="n">
        <v>30</v>
      </c>
      <c r="B39" s="39" t="s">
        <v>167</v>
      </c>
      <c r="C39" s="40" t="s">
        <v>193</v>
      </c>
      <c r="D39" s="41" t="s">
        <v>194</v>
      </c>
      <c r="E39" s="40" t="s">
        <v>108</v>
      </c>
      <c r="F39" s="42" t="s">
        <v>68</v>
      </c>
      <c r="G39" s="42" t="s">
        <v>103</v>
      </c>
      <c r="H39" s="42" t="s">
        <v>69</v>
      </c>
      <c r="I39" s="40" t="s">
        <v>195</v>
      </c>
      <c r="J39" s="44" t="s">
        <v>196</v>
      </c>
      <c r="K39" s="37" t="s">
        <v>72</v>
      </c>
    </row>
    <row r="40" customFormat="false" ht="24" hidden="false" customHeight="true" outlineLevel="0" collapsed="false">
      <c r="A40" s="29" t="s">
        <v>197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customFormat="false" ht="19.5" hidden="false" customHeight="true" outlineLevel="0" collapsed="false">
      <c r="A41" s="30" t="n">
        <v>31</v>
      </c>
      <c r="B41" s="31" t="s">
        <v>198</v>
      </c>
      <c r="C41" s="32" t="s">
        <v>199</v>
      </c>
      <c r="D41" s="33" t="s">
        <v>200</v>
      </c>
      <c r="E41" s="32" t="s">
        <v>67</v>
      </c>
      <c r="F41" s="34" t="s">
        <v>68</v>
      </c>
      <c r="G41" s="35" t="s">
        <v>24</v>
      </c>
      <c r="H41" s="34" t="s">
        <v>69</v>
      </c>
      <c r="I41" s="32" t="s">
        <v>70</v>
      </c>
      <c r="J41" s="36" t="s">
        <v>201</v>
      </c>
      <c r="K41" s="37" t="s">
        <v>72</v>
      </c>
    </row>
    <row r="42" customFormat="false" ht="30.75" hidden="false" customHeight="true" outlineLevel="0" collapsed="false">
      <c r="A42" s="38" t="n">
        <v>32</v>
      </c>
      <c r="B42" s="39" t="s">
        <v>198</v>
      </c>
      <c r="C42" s="40" t="s">
        <v>202</v>
      </c>
      <c r="D42" s="41" t="s">
        <v>203</v>
      </c>
      <c r="E42" s="40" t="s">
        <v>75</v>
      </c>
      <c r="F42" s="42" t="s">
        <v>83</v>
      </c>
      <c r="G42" s="45" t="s">
        <v>26</v>
      </c>
      <c r="H42" s="42" t="s">
        <v>69</v>
      </c>
      <c r="I42" s="40"/>
      <c r="J42" s="44" t="s">
        <v>204</v>
      </c>
      <c r="K42" s="37" t="s">
        <v>72</v>
      </c>
    </row>
    <row r="43" customFormat="false" ht="19.5" hidden="false" customHeight="true" outlineLevel="0" collapsed="false">
      <c r="A43" s="30" t="n">
        <v>33</v>
      </c>
      <c r="B43" s="31" t="s">
        <v>198</v>
      </c>
      <c r="C43" s="32" t="s">
        <v>205</v>
      </c>
      <c r="D43" s="33" t="s">
        <v>206</v>
      </c>
      <c r="E43" s="32" t="s">
        <v>97</v>
      </c>
      <c r="F43" s="34" t="s">
        <v>68</v>
      </c>
      <c r="G43" s="43" t="s">
        <v>28</v>
      </c>
      <c r="H43" s="34" t="s">
        <v>69</v>
      </c>
      <c r="I43" s="32" t="s">
        <v>207</v>
      </c>
      <c r="J43" s="36" t="s">
        <v>99</v>
      </c>
      <c r="K43" s="37" t="s">
        <v>72</v>
      </c>
    </row>
    <row r="44" customFormat="false" ht="19.5" hidden="false" customHeight="true" outlineLevel="0" collapsed="false">
      <c r="A44" s="38" t="n">
        <v>34</v>
      </c>
      <c r="B44" s="39" t="s">
        <v>198</v>
      </c>
      <c r="C44" s="40" t="s">
        <v>208</v>
      </c>
      <c r="D44" s="41" t="s">
        <v>209</v>
      </c>
      <c r="E44" s="40" t="s">
        <v>97</v>
      </c>
      <c r="F44" s="42" t="s">
        <v>68</v>
      </c>
      <c r="G44" s="43" t="s">
        <v>28</v>
      </c>
      <c r="H44" s="42" t="s">
        <v>69</v>
      </c>
      <c r="I44" s="40"/>
      <c r="J44" s="44" t="s">
        <v>99</v>
      </c>
      <c r="K44" s="37" t="s">
        <v>72</v>
      </c>
    </row>
    <row r="45" customFormat="false" ht="19.5" hidden="false" customHeight="true" outlineLevel="0" collapsed="false">
      <c r="A45" s="30" t="n">
        <v>35</v>
      </c>
      <c r="B45" s="31" t="s">
        <v>198</v>
      </c>
      <c r="C45" s="32" t="s">
        <v>210</v>
      </c>
      <c r="D45" s="33" t="s">
        <v>211</v>
      </c>
      <c r="E45" s="32" t="s">
        <v>97</v>
      </c>
      <c r="F45" s="34" t="s">
        <v>68</v>
      </c>
      <c r="G45" s="43" t="s">
        <v>28</v>
      </c>
      <c r="H45" s="34" t="s">
        <v>69</v>
      </c>
      <c r="I45" s="32" t="s">
        <v>212</v>
      </c>
      <c r="J45" s="36" t="s">
        <v>99</v>
      </c>
      <c r="K45" s="37" t="s">
        <v>72</v>
      </c>
    </row>
    <row r="46" customFormat="false" ht="24" hidden="false" customHeight="true" outlineLevel="0" collapsed="false">
      <c r="A46" s="29" t="s">
        <v>213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customFormat="false" ht="19.5" hidden="false" customHeight="true" outlineLevel="0" collapsed="false">
      <c r="A47" s="30" t="n">
        <v>36</v>
      </c>
      <c r="B47" s="31" t="s">
        <v>214</v>
      </c>
      <c r="C47" s="32" t="s">
        <v>215</v>
      </c>
      <c r="D47" s="33" t="s">
        <v>216</v>
      </c>
      <c r="E47" s="32" t="s">
        <v>67</v>
      </c>
      <c r="F47" s="34" t="s">
        <v>68</v>
      </c>
      <c r="G47" s="35" t="s">
        <v>24</v>
      </c>
      <c r="H47" s="34" t="s">
        <v>69</v>
      </c>
      <c r="I47" s="32" t="s">
        <v>70</v>
      </c>
      <c r="J47" s="36" t="s">
        <v>217</v>
      </c>
      <c r="K47" s="37" t="s">
        <v>72</v>
      </c>
    </row>
    <row r="48" customFormat="false" ht="19.5" hidden="false" customHeight="true" outlineLevel="0" collapsed="false">
      <c r="A48" s="38" t="n">
        <v>37</v>
      </c>
      <c r="B48" s="39" t="s">
        <v>214</v>
      </c>
      <c r="C48" s="40" t="s">
        <v>218</v>
      </c>
      <c r="D48" s="41" t="s">
        <v>219</v>
      </c>
      <c r="E48" s="40" t="s">
        <v>92</v>
      </c>
      <c r="F48" s="42" t="s">
        <v>68</v>
      </c>
      <c r="G48" s="43" t="s">
        <v>28</v>
      </c>
      <c r="H48" s="42" t="s">
        <v>69</v>
      </c>
      <c r="I48" s="40" t="s">
        <v>220</v>
      </c>
      <c r="J48" s="44" t="s">
        <v>221</v>
      </c>
      <c r="K48" s="37" t="s">
        <v>72</v>
      </c>
    </row>
    <row r="49" customFormat="false" ht="30.75" hidden="false" customHeight="true" outlineLevel="0" collapsed="false">
      <c r="A49" s="30" t="n">
        <v>38</v>
      </c>
      <c r="B49" s="31" t="s">
        <v>214</v>
      </c>
      <c r="C49" s="32" t="s">
        <v>222</v>
      </c>
      <c r="D49" s="33" t="s">
        <v>223</v>
      </c>
      <c r="E49" s="32" t="s">
        <v>224</v>
      </c>
      <c r="F49" s="34" t="s">
        <v>68</v>
      </c>
      <c r="G49" s="34" t="s">
        <v>103</v>
      </c>
      <c r="H49" s="34" t="s">
        <v>69</v>
      </c>
      <c r="I49" s="32" t="s">
        <v>225</v>
      </c>
      <c r="J49" s="36" t="s">
        <v>226</v>
      </c>
      <c r="K49" s="37" t="s">
        <v>72</v>
      </c>
    </row>
    <row r="50" customFormat="false" ht="19.5" hidden="false" customHeight="true" outlineLevel="0" collapsed="false">
      <c r="A50" s="38" t="n">
        <v>39</v>
      </c>
      <c r="B50" s="39" t="s">
        <v>214</v>
      </c>
      <c r="C50" s="40" t="s">
        <v>227</v>
      </c>
      <c r="D50" s="41" t="s">
        <v>228</v>
      </c>
      <c r="E50" s="40" t="s">
        <v>145</v>
      </c>
      <c r="F50" s="42" t="s">
        <v>229</v>
      </c>
      <c r="G50" s="42" t="s">
        <v>103</v>
      </c>
      <c r="H50" s="42" t="s">
        <v>69</v>
      </c>
      <c r="I50" s="40" t="s">
        <v>230</v>
      </c>
      <c r="J50" s="44" t="s">
        <v>231</v>
      </c>
      <c r="K50" s="37" t="s">
        <v>72</v>
      </c>
    </row>
    <row r="51" customFormat="false" ht="30.75" hidden="false" customHeight="true" outlineLevel="0" collapsed="false">
      <c r="A51" s="30" t="n">
        <v>40</v>
      </c>
      <c r="B51" s="31" t="s">
        <v>214</v>
      </c>
      <c r="C51" s="32" t="s">
        <v>232</v>
      </c>
      <c r="D51" s="33" t="s">
        <v>233</v>
      </c>
      <c r="E51" s="32" t="s">
        <v>145</v>
      </c>
      <c r="F51" s="34" t="s">
        <v>229</v>
      </c>
      <c r="G51" s="34" t="s">
        <v>103</v>
      </c>
      <c r="H51" s="34" t="s">
        <v>69</v>
      </c>
      <c r="I51" s="32" t="s">
        <v>234</v>
      </c>
      <c r="J51" s="36" t="s">
        <v>235</v>
      </c>
      <c r="K51" s="37" t="s">
        <v>72</v>
      </c>
    </row>
    <row r="52" customFormat="false" ht="19.5" hidden="false" customHeight="true" outlineLevel="0" collapsed="false">
      <c r="A52" s="38" t="n">
        <v>41</v>
      </c>
      <c r="B52" s="39" t="s">
        <v>214</v>
      </c>
      <c r="C52" s="40" t="s">
        <v>236</v>
      </c>
      <c r="D52" s="41" t="s">
        <v>237</v>
      </c>
      <c r="E52" s="40" t="s">
        <v>108</v>
      </c>
      <c r="F52" s="42" t="s">
        <v>68</v>
      </c>
      <c r="G52" s="42" t="s">
        <v>103</v>
      </c>
      <c r="H52" s="42" t="s">
        <v>69</v>
      </c>
      <c r="I52" s="40" t="s">
        <v>238</v>
      </c>
      <c r="J52" s="44" t="s">
        <v>239</v>
      </c>
      <c r="K52" s="37" t="s">
        <v>72</v>
      </c>
    </row>
    <row r="53" customFormat="false" ht="19.5" hidden="false" customHeight="true" outlineLevel="0" collapsed="false">
      <c r="A53" s="30" t="n">
        <v>42</v>
      </c>
      <c r="B53" s="31" t="s">
        <v>214</v>
      </c>
      <c r="C53" s="32" t="s">
        <v>240</v>
      </c>
      <c r="D53" s="33" t="s">
        <v>241</v>
      </c>
      <c r="E53" s="32" t="s">
        <v>108</v>
      </c>
      <c r="F53" s="34" t="s">
        <v>68</v>
      </c>
      <c r="G53" s="43" t="s">
        <v>28</v>
      </c>
      <c r="H53" s="34" t="s">
        <v>69</v>
      </c>
      <c r="I53" s="32" t="s">
        <v>242</v>
      </c>
      <c r="J53" s="36" t="s">
        <v>243</v>
      </c>
      <c r="K53" s="37" t="s">
        <v>72</v>
      </c>
    </row>
    <row r="54" customFormat="false" ht="24" hidden="false" customHeight="true" outlineLevel="0" collapsed="false">
      <c r="A54" s="29" t="s">
        <v>244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customFormat="false" ht="19.5" hidden="false" customHeight="true" outlineLevel="0" collapsed="false">
      <c r="A55" s="30" t="n">
        <v>43</v>
      </c>
      <c r="B55" s="31" t="s">
        <v>245</v>
      </c>
      <c r="C55" s="32" t="s">
        <v>246</v>
      </c>
      <c r="D55" s="33" t="s">
        <v>247</v>
      </c>
      <c r="E55" s="32" t="s">
        <v>67</v>
      </c>
      <c r="F55" s="34" t="s">
        <v>68</v>
      </c>
      <c r="G55" s="35" t="s">
        <v>24</v>
      </c>
      <c r="H55" s="34" t="s">
        <v>69</v>
      </c>
      <c r="I55" s="32" t="s">
        <v>70</v>
      </c>
      <c r="J55" s="36" t="s">
        <v>248</v>
      </c>
      <c r="K55" s="37" t="s">
        <v>72</v>
      </c>
    </row>
    <row r="56" customFormat="false" ht="19.5" hidden="false" customHeight="true" outlineLevel="0" collapsed="false">
      <c r="A56" s="38" t="n">
        <v>44</v>
      </c>
      <c r="B56" s="39" t="s">
        <v>245</v>
      </c>
      <c r="C56" s="40" t="s">
        <v>249</v>
      </c>
      <c r="D56" s="41" t="s">
        <v>250</v>
      </c>
      <c r="E56" s="40" t="s">
        <v>108</v>
      </c>
      <c r="F56" s="42" t="s">
        <v>68</v>
      </c>
      <c r="G56" s="43" t="s">
        <v>28</v>
      </c>
      <c r="H56" s="42" t="s">
        <v>69</v>
      </c>
      <c r="I56" s="40" t="s">
        <v>251</v>
      </c>
      <c r="J56" s="44" t="s">
        <v>252</v>
      </c>
      <c r="K56" s="37" t="s">
        <v>72</v>
      </c>
    </row>
    <row r="57" customFormat="false" ht="19.5" hidden="false" customHeight="true" outlineLevel="0" collapsed="false">
      <c r="A57" s="30" t="n">
        <v>45</v>
      </c>
      <c r="B57" s="31" t="s">
        <v>245</v>
      </c>
      <c r="C57" s="32" t="s">
        <v>253</v>
      </c>
      <c r="D57" s="33" t="s">
        <v>254</v>
      </c>
      <c r="E57" s="32" t="s">
        <v>145</v>
      </c>
      <c r="F57" s="34" t="s">
        <v>229</v>
      </c>
      <c r="G57" s="43" t="s">
        <v>28</v>
      </c>
      <c r="H57" s="34" t="s">
        <v>69</v>
      </c>
      <c r="I57" s="32"/>
      <c r="J57" s="36" t="s">
        <v>255</v>
      </c>
      <c r="K57" s="37" t="s">
        <v>72</v>
      </c>
    </row>
    <row r="58" customFormat="false" ht="30.75" hidden="false" customHeight="true" outlineLevel="0" collapsed="false">
      <c r="A58" s="38" t="n">
        <v>46</v>
      </c>
      <c r="B58" s="39" t="s">
        <v>245</v>
      </c>
      <c r="C58" s="40" t="s">
        <v>256</v>
      </c>
      <c r="D58" s="41" t="s">
        <v>257</v>
      </c>
      <c r="E58" s="40" t="s">
        <v>145</v>
      </c>
      <c r="F58" s="42" t="s">
        <v>146</v>
      </c>
      <c r="G58" s="43" t="s">
        <v>28</v>
      </c>
      <c r="H58" s="46" t="s">
        <v>30</v>
      </c>
      <c r="I58" s="40" t="s">
        <v>258</v>
      </c>
      <c r="J58" s="44" t="s">
        <v>259</v>
      </c>
      <c r="K58" s="37" t="s">
        <v>72</v>
      </c>
    </row>
    <row r="59" customFormat="false" ht="19.5" hidden="false" customHeight="true" outlineLevel="0" collapsed="false">
      <c r="A59" s="30" t="n">
        <v>47</v>
      </c>
      <c r="B59" s="31" t="s">
        <v>245</v>
      </c>
      <c r="C59" s="32" t="s">
        <v>260</v>
      </c>
      <c r="D59" s="33" t="s">
        <v>261</v>
      </c>
      <c r="E59" s="32" t="s">
        <v>108</v>
      </c>
      <c r="F59" s="34" t="s">
        <v>68</v>
      </c>
      <c r="G59" s="43" t="s">
        <v>28</v>
      </c>
      <c r="H59" s="34" t="s">
        <v>69</v>
      </c>
      <c r="I59" s="32"/>
      <c r="J59" s="36" t="s">
        <v>262</v>
      </c>
      <c r="K59" s="37" t="s">
        <v>72</v>
      </c>
    </row>
    <row r="60" customFormat="false" ht="24" hidden="false" customHeight="true" outlineLevel="0" collapsed="false">
      <c r="A60" s="47" t="s">
        <v>263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</row>
    <row r="61" customFormat="false" ht="19.5" hidden="false" customHeight="true" outlineLevel="0" collapsed="false">
      <c r="A61" s="30" t="n">
        <v>48</v>
      </c>
      <c r="B61" s="31" t="s">
        <v>264</v>
      </c>
      <c r="C61" s="32" t="s">
        <v>265</v>
      </c>
      <c r="D61" s="33" t="s">
        <v>266</v>
      </c>
      <c r="E61" s="32" t="s">
        <v>267</v>
      </c>
      <c r="F61" s="34" t="s">
        <v>268</v>
      </c>
      <c r="G61" s="35" t="s">
        <v>24</v>
      </c>
      <c r="H61" s="34" t="s">
        <v>69</v>
      </c>
      <c r="I61" s="32" t="s">
        <v>269</v>
      </c>
      <c r="J61" s="36" t="s">
        <v>270</v>
      </c>
      <c r="K61" s="43" t="s">
        <v>10</v>
      </c>
    </row>
    <row r="62" customFormat="false" ht="19.5" hidden="false" customHeight="true" outlineLevel="0" collapsed="false">
      <c r="A62" s="38" t="n">
        <v>49</v>
      </c>
      <c r="B62" s="39" t="s">
        <v>264</v>
      </c>
      <c r="C62" s="40" t="s">
        <v>271</v>
      </c>
      <c r="D62" s="41" t="s">
        <v>272</v>
      </c>
      <c r="E62" s="40" t="s">
        <v>75</v>
      </c>
      <c r="F62" s="42" t="s">
        <v>273</v>
      </c>
      <c r="G62" s="43" t="s">
        <v>28</v>
      </c>
      <c r="H62" s="42" t="s">
        <v>69</v>
      </c>
      <c r="I62" s="40" t="s">
        <v>274</v>
      </c>
      <c r="J62" s="44" t="s">
        <v>275</v>
      </c>
      <c r="K62" s="43" t="s">
        <v>10</v>
      </c>
    </row>
    <row r="63" customFormat="false" ht="19.5" hidden="false" customHeight="true" outlineLevel="0" collapsed="false">
      <c r="A63" s="30" t="n">
        <v>50</v>
      </c>
      <c r="B63" s="31" t="s">
        <v>264</v>
      </c>
      <c r="C63" s="32" t="s">
        <v>276</v>
      </c>
      <c r="D63" s="33" t="s">
        <v>277</v>
      </c>
      <c r="E63" s="32" t="s">
        <v>108</v>
      </c>
      <c r="F63" s="34" t="s">
        <v>68</v>
      </c>
      <c r="G63" s="43" t="s">
        <v>28</v>
      </c>
      <c r="H63" s="34" t="s">
        <v>69</v>
      </c>
      <c r="I63" s="32" t="s">
        <v>278</v>
      </c>
      <c r="J63" s="36" t="s">
        <v>279</v>
      </c>
      <c r="K63" s="43" t="s">
        <v>10</v>
      </c>
    </row>
    <row r="64" customFormat="false" ht="19.5" hidden="false" customHeight="true" outlineLevel="0" collapsed="false">
      <c r="A64" s="38" t="n">
        <v>51</v>
      </c>
      <c r="B64" s="39" t="s">
        <v>264</v>
      </c>
      <c r="C64" s="40" t="s">
        <v>280</v>
      </c>
      <c r="D64" s="41" t="s">
        <v>281</v>
      </c>
      <c r="E64" s="40" t="s">
        <v>145</v>
      </c>
      <c r="F64" s="42" t="s">
        <v>68</v>
      </c>
      <c r="G64" s="42" t="s">
        <v>103</v>
      </c>
      <c r="H64" s="42" t="s">
        <v>69</v>
      </c>
      <c r="I64" s="40" t="s">
        <v>282</v>
      </c>
      <c r="J64" s="44" t="s">
        <v>283</v>
      </c>
      <c r="K64" s="43" t="s">
        <v>10</v>
      </c>
    </row>
    <row r="65" customFormat="false" ht="19.5" hidden="false" customHeight="true" outlineLevel="0" collapsed="false">
      <c r="A65" s="30" t="n">
        <v>52</v>
      </c>
      <c r="B65" s="31" t="s">
        <v>264</v>
      </c>
      <c r="C65" s="32" t="s">
        <v>284</v>
      </c>
      <c r="D65" s="33" t="s">
        <v>285</v>
      </c>
      <c r="E65" s="32" t="s">
        <v>145</v>
      </c>
      <c r="F65" s="34" t="s">
        <v>68</v>
      </c>
      <c r="G65" s="34" t="s">
        <v>103</v>
      </c>
      <c r="H65" s="34" t="s">
        <v>69</v>
      </c>
      <c r="I65" s="32" t="s">
        <v>286</v>
      </c>
      <c r="J65" s="36" t="s">
        <v>287</v>
      </c>
      <c r="K65" s="43" t="s">
        <v>10</v>
      </c>
    </row>
    <row r="66" customFormat="false" ht="19.5" hidden="false" customHeight="true" outlineLevel="0" collapsed="false">
      <c r="A66" s="38" t="n">
        <v>53</v>
      </c>
      <c r="B66" s="39" t="s">
        <v>264</v>
      </c>
      <c r="C66" s="40" t="s">
        <v>288</v>
      </c>
      <c r="D66" s="41" t="s">
        <v>289</v>
      </c>
      <c r="E66" s="40" t="s">
        <v>145</v>
      </c>
      <c r="F66" s="42" t="s">
        <v>68</v>
      </c>
      <c r="G66" s="42" t="s">
        <v>103</v>
      </c>
      <c r="H66" s="42" t="s">
        <v>69</v>
      </c>
      <c r="I66" s="40" t="s">
        <v>290</v>
      </c>
      <c r="J66" s="44" t="s">
        <v>291</v>
      </c>
      <c r="K66" s="43" t="s">
        <v>10</v>
      </c>
    </row>
    <row r="67" customFormat="false" ht="19.5" hidden="false" customHeight="true" outlineLevel="0" collapsed="false">
      <c r="A67" s="30" t="n">
        <v>54</v>
      </c>
      <c r="B67" s="31" t="s">
        <v>264</v>
      </c>
      <c r="C67" s="32" t="s">
        <v>292</v>
      </c>
      <c r="D67" s="33" t="s">
        <v>293</v>
      </c>
      <c r="E67" s="32" t="s">
        <v>67</v>
      </c>
      <c r="F67" s="34" t="s">
        <v>68</v>
      </c>
      <c r="G67" s="34" t="s">
        <v>103</v>
      </c>
      <c r="H67" s="34" t="s">
        <v>69</v>
      </c>
      <c r="I67" s="32" t="s">
        <v>294</v>
      </c>
      <c r="J67" s="36" t="s">
        <v>295</v>
      </c>
      <c r="K67" s="43" t="s">
        <v>10</v>
      </c>
    </row>
    <row r="68" customFormat="false" ht="30.75" hidden="false" customHeight="true" outlineLevel="0" collapsed="false">
      <c r="A68" s="38" t="n">
        <v>55</v>
      </c>
      <c r="B68" s="39" t="s">
        <v>264</v>
      </c>
      <c r="C68" s="40" t="s">
        <v>296</v>
      </c>
      <c r="D68" s="41" t="s">
        <v>297</v>
      </c>
      <c r="E68" s="40" t="s">
        <v>145</v>
      </c>
      <c r="F68" s="42" t="s">
        <v>68</v>
      </c>
      <c r="G68" s="42" t="s">
        <v>103</v>
      </c>
      <c r="H68" s="42" t="s">
        <v>69</v>
      </c>
      <c r="I68" s="40" t="s">
        <v>298</v>
      </c>
      <c r="J68" s="44" t="s">
        <v>299</v>
      </c>
      <c r="K68" s="43" t="s">
        <v>10</v>
      </c>
    </row>
    <row r="69" customFormat="false" ht="19.5" hidden="false" customHeight="true" outlineLevel="0" collapsed="false">
      <c r="A69" s="30" t="n">
        <v>56</v>
      </c>
      <c r="B69" s="31" t="s">
        <v>264</v>
      </c>
      <c r="C69" s="32" t="s">
        <v>300</v>
      </c>
      <c r="D69" s="33" t="s">
        <v>301</v>
      </c>
      <c r="E69" s="32" t="s">
        <v>67</v>
      </c>
      <c r="F69" s="34" t="s">
        <v>68</v>
      </c>
      <c r="G69" s="34" t="s">
        <v>103</v>
      </c>
      <c r="H69" s="34" t="s">
        <v>69</v>
      </c>
      <c r="I69" s="32" t="s">
        <v>302</v>
      </c>
      <c r="J69" s="36" t="s">
        <v>303</v>
      </c>
      <c r="K69" s="43" t="s">
        <v>10</v>
      </c>
    </row>
    <row r="70" customFormat="false" ht="19.5" hidden="false" customHeight="true" outlineLevel="0" collapsed="false">
      <c r="A70" s="38" t="n">
        <v>57</v>
      </c>
      <c r="B70" s="39" t="s">
        <v>264</v>
      </c>
      <c r="C70" s="40" t="s">
        <v>304</v>
      </c>
      <c r="D70" s="41" t="s">
        <v>305</v>
      </c>
      <c r="E70" s="40" t="s">
        <v>145</v>
      </c>
      <c r="F70" s="42" t="s">
        <v>68</v>
      </c>
      <c r="G70" s="42" t="s">
        <v>103</v>
      </c>
      <c r="H70" s="42" t="s">
        <v>69</v>
      </c>
      <c r="I70" s="40" t="s">
        <v>306</v>
      </c>
      <c r="J70" s="44" t="s">
        <v>307</v>
      </c>
      <c r="K70" s="43" t="s">
        <v>10</v>
      </c>
    </row>
    <row r="71" customFormat="false" ht="19.5" hidden="false" customHeight="true" outlineLevel="0" collapsed="false">
      <c r="A71" s="30" t="n">
        <v>58</v>
      </c>
      <c r="B71" s="31" t="s">
        <v>264</v>
      </c>
      <c r="C71" s="32" t="s">
        <v>308</v>
      </c>
      <c r="D71" s="33" t="s">
        <v>309</v>
      </c>
      <c r="E71" s="32" t="s">
        <v>145</v>
      </c>
      <c r="F71" s="34" t="s">
        <v>68</v>
      </c>
      <c r="G71" s="34" t="s">
        <v>103</v>
      </c>
      <c r="H71" s="34" t="s">
        <v>69</v>
      </c>
      <c r="I71" s="32" t="s">
        <v>310</v>
      </c>
      <c r="J71" s="36" t="s">
        <v>311</v>
      </c>
      <c r="K71" s="43" t="s">
        <v>10</v>
      </c>
    </row>
    <row r="72" customFormat="false" ht="19.5" hidden="false" customHeight="true" outlineLevel="0" collapsed="false">
      <c r="A72" s="38" t="n">
        <v>59</v>
      </c>
      <c r="B72" s="39" t="s">
        <v>264</v>
      </c>
      <c r="C72" s="40" t="s">
        <v>312</v>
      </c>
      <c r="D72" s="41" t="s">
        <v>313</v>
      </c>
      <c r="E72" s="40" t="s">
        <v>67</v>
      </c>
      <c r="F72" s="42" t="s">
        <v>68</v>
      </c>
      <c r="G72" s="42" t="s">
        <v>103</v>
      </c>
      <c r="H72" s="42" t="s">
        <v>69</v>
      </c>
      <c r="I72" s="40" t="s">
        <v>286</v>
      </c>
      <c r="J72" s="44" t="s">
        <v>314</v>
      </c>
      <c r="K72" s="43" t="s">
        <v>10</v>
      </c>
    </row>
    <row r="73" customFormat="false" ht="19.5" hidden="false" customHeight="true" outlineLevel="0" collapsed="false">
      <c r="A73" s="30" t="n">
        <v>60</v>
      </c>
      <c r="B73" s="31" t="s">
        <v>264</v>
      </c>
      <c r="C73" s="32" t="s">
        <v>315</v>
      </c>
      <c r="D73" s="33" t="s">
        <v>316</v>
      </c>
      <c r="E73" s="32" t="s">
        <v>67</v>
      </c>
      <c r="F73" s="34" t="s">
        <v>68</v>
      </c>
      <c r="G73" s="34" t="s">
        <v>103</v>
      </c>
      <c r="H73" s="34" t="s">
        <v>69</v>
      </c>
      <c r="I73" s="32" t="s">
        <v>317</v>
      </c>
      <c r="J73" s="36" t="s">
        <v>318</v>
      </c>
      <c r="K73" s="43" t="s">
        <v>10</v>
      </c>
    </row>
    <row r="74" customFormat="false" ht="30.75" hidden="false" customHeight="true" outlineLevel="0" collapsed="false">
      <c r="A74" s="38" t="n">
        <v>61</v>
      </c>
      <c r="B74" s="39" t="s">
        <v>264</v>
      </c>
      <c r="C74" s="40" t="s">
        <v>319</v>
      </c>
      <c r="D74" s="41" t="s">
        <v>320</v>
      </c>
      <c r="E74" s="40" t="s">
        <v>75</v>
      </c>
      <c r="F74" s="42" t="s">
        <v>321</v>
      </c>
      <c r="G74" s="43" t="s">
        <v>28</v>
      </c>
      <c r="H74" s="42" t="s">
        <v>69</v>
      </c>
      <c r="I74" s="40" t="s">
        <v>322</v>
      </c>
      <c r="J74" s="44" t="s">
        <v>323</v>
      </c>
      <c r="K74" s="43" t="s">
        <v>10</v>
      </c>
    </row>
    <row r="75" customFormat="false" ht="24" hidden="false" customHeight="true" outlineLevel="0" collapsed="false">
      <c r="A75" s="47" t="s">
        <v>324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customFormat="false" ht="19.5" hidden="false" customHeight="true" outlineLevel="0" collapsed="false">
      <c r="A76" s="30" t="n">
        <v>62</v>
      </c>
      <c r="B76" s="31" t="s">
        <v>325</v>
      </c>
      <c r="C76" s="32" t="s">
        <v>326</v>
      </c>
      <c r="D76" s="33" t="s">
        <v>327</v>
      </c>
      <c r="E76" s="32" t="s">
        <v>267</v>
      </c>
      <c r="F76" s="34" t="s">
        <v>268</v>
      </c>
      <c r="G76" s="35" t="s">
        <v>24</v>
      </c>
      <c r="H76" s="34" t="s">
        <v>69</v>
      </c>
      <c r="I76" s="32" t="s">
        <v>269</v>
      </c>
      <c r="J76" s="36" t="s">
        <v>328</v>
      </c>
      <c r="K76" s="43" t="s">
        <v>10</v>
      </c>
    </row>
    <row r="77" customFormat="false" ht="19.5" hidden="false" customHeight="true" outlineLevel="0" collapsed="false">
      <c r="A77" s="38" t="n">
        <v>63</v>
      </c>
      <c r="B77" s="39" t="s">
        <v>325</v>
      </c>
      <c r="C77" s="40" t="s">
        <v>329</v>
      </c>
      <c r="D77" s="41" t="s">
        <v>330</v>
      </c>
      <c r="E77" s="40" t="s">
        <v>92</v>
      </c>
      <c r="F77" s="42" t="s">
        <v>68</v>
      </c>
      <c r="G77" s="43" t="s">
        <v>28</v>
      </c>
      <c r="H77" s="42" t="s">
        <v>69</v>
      </c>
      <c r="I77" s="40" t="s">
        <v>331</v>
      </c>
      <c r="J77" s="44" t="s">
        <v>332</v>
      </c>
      <c r="K77" s="43" t="s">
        <v>10</v>
      </c>
    </row>
    <row r="78" customFormat="false" ht="19.5" hidden="false" customHeight="true" outlineLevel="0" collapsed="false">
      <c r="A78" s="30" t="n">
        <v>64</v>
      </c>
      <c r="B78" s="31" t="s">
        <v>325</v>
      </c>
      <c r="C78" s="32" t="s">
        <v>333</v>
      </c>
      <c r="D78" s="33" t="s">
        <v>334</v>
      </c>
      <c r="E78" s="32" t="s">
        <v>92</v>
      </c>
      <c r="F78" s="34" t="s">
        <v>68</v>
      </c>
      <c r="G78" s="43" t="s">
        <v>28</v>
      </c>
      <c r="H78" s="34" t="s">
        <v>69</v>
      </c>
      <c r="I78" s="32" t="s">
        <v>335</v>
      </c>
      <c r="J78" s="36" t="s">
        <v>336</v>
      </c>
      <c r="K78" s="43" t="s">
        <v>10</v>
      </c>
    </row>
    <row r="79" customFormat="false" ht="19.5" hidden="false" customHeight="true" outlineLevel="0" collapsed="false">
      <c r="A79" s="38" t="n">
        <v>65</v>
      </c>
      <c r="B79" s="39" t="s">
        <v>325</v>
      </c>
      <c r="C79" s="40" t="s">
        <v>337</v>
      </c>
      <c r="D79" s="41" t="s">
        <v>338</v>
      </c>
      <c r="E79" s="40" t="s">
        <v>108</v>
      </c>
      <c r="F79" s="42" t="s">
        <v>68</v>
      </c>
      <c r="G79" s="43" t="s">
        <v>28</v>
      </c>
      <c r="H79" s="42" t="s">
        <v>69</v>
      </c>
      <c r="I79" s="40" t="s">
        <v>339</v>
      </c>
      <c r="J79" s="44" t="s">
        <v>340</v>
      </c>
      <c r="K79" s="43" t="s">
        <v>10</v>
      </c>
    </row>
    <row r="80" customFormat="false" ht="30.75" hidden="false" customHeight="true" outlineLevel="0" collapsed="false">
      <c r="A80" s="30" t="n">
        <v>66</v>
      </c>
      <c r="B80" s="31" t="s">
        <v>325</v>
      </c>
      <c r="C80" s="32" t="s">
        <v>341</v>
      </c>
      <c r="D80" s="33" t="s">
        <v>342</v>
      </c>
      <c r="E80" s="32" t="s">
        <v>75</v>
      </c>
      <c r="F80" s="34" t="s">
        <v>83</v>
      </c>
      <c r="G80" s="43" t="s">
        <v>28</v>
      </c>
      <c r="H80" s="34" t="s">
        <v>69</v>
      </c>
      <c r="I80" s="32" t="s">
        <v>343</v>
      </c>
      <c r="J80" s="36" t="s">
        <v>344</v>
      </c>
      <c r="K80" s="43" t="s">
        <v>10</v>
      </c>
    </row>
    <row r="81" customFormat="false" ht="30.75" hidden="false" customHeight="true" outlineLevel="0" collapsed="false">
      <c r="A81" s="38" t="n">
        <v>67</v>
      </c>
      <c r="B81" s="39" t="s">
        <v>325</v>
      </c>
      <c r="C81" s="40" t="s">
        <v>345</v>
      </c>
      <c r="D81" s="41" t="s">
        <v>346</v>
      </c>
      <c r="E81" s="40" t="s">
        <v>347</v>
      </c>
      <c r="F81" s="42" t="s">
        <v>68</v>
      </c>
      <c r="G81" s="42" t="s">
        <v>103</v>
      </c>
      <c r="H81" s="42" t="s">
        <v>69</v>
      </c>
      <c r="I81" s="40" t="s">
        <v>348</v>
      </c>
      <c r="J81" s="44" t="s">
        <v>349</v>
      </c>
      <c r="K81" s="43" t="s">
        <v>10</v>
      </c>
    </row>
    <row r="82" customFormat="false" ht="24" hidden="false" customHeight="true" outlineLevel="0" collapsed="false">
      <c r="A82" s="48" t="s">
        <v>350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</row>
    <row r="83" customFormat="false" ht="19.5" hidden="false" customHeight="true" outlineLevel="0" collapsed="false">
      <c r="A83" s="30" t="n">
        <v>68</v>
      </c>
      <c r="B83" s="31" t="s">
        <v>68</v>
      </c>
      <c r="C83" s="32" t="s">
        <v>351</v>
      </c>
      <c r="D83" s="33" t="s">
        <v>352</v>
      </c>
      <c r="E83" s="32" t="s">
        <v>108</v>
      </c>
      <c r="F83" s="34" t="s">
        <v>68</v>
      </c>
      <c r="G83" s="34" t="s">
        <v>68</v>
      </c>
      <c r="H83" s="46" t="s">
        <v>30</v>
      </c>
      <c r="I83" s="32" t="s">
        <v>353</v>
      </c>
      <c r="J83" s="36" t="s">
        <v>279</v>
      </c>
      <c r="K83" s="46" t="s">
        <v>354</v>
      </c>
    </row>
    <row r="84" customFormat="false" ht="30.75" hidden="false" customHeight="true" outlineLevel="0" collapsed="false">
      <c r="A84" s="38" t="n">
        <v>69</v>
      </c>
      <c r="B84" s="39" t="s">
        <v>68</v>
      </c>
      <c r="C84" s="40" t="s">
        <v>355</v>
      </c>
      <c r="D84" s="41" t="s">
        <v>356</v>
      </c>
      <c r="E84" s="40" t="s">
        <v>92</v>
      </c>
      <c r="F84" s="42" t="s">
        <v>68</v>
      </c>
      <c r="G84" s="42" t="s">
        <v>68</v>
      </c>
      <c r="H84" s="46" t="s">
        <v>30</v>
      </c>
      <c r="I84" s="40" t="s">
        <v>357</v>
      </c>
      <c r="J84" s="44" t="s">
        <v>358</v>
      </c>
      <c r="K84" s="46" t="s">
        <v>354</v>
      </c>
    </row>
    <row r="85" customFormat="false" ht="30.75" hidden="false" customHeight="true" outlineLevel="0" collapsed="false">
      <c r="A85" s="30" t="n">
        <v>70</v>
      </c>
      <c r="B85" s="31" t="s">
        <v>68</v>
      </c>
      <c r="C85" s="32" t="s">
        <v>359</v>
      </c>
      <c r="D85" s="33" t="s">
        <v>360</v>
      </c>
      <c r="E85" s="32" t="s">
        <v>145</v>
      </c>
      <c r="F85" s="34" t="s">
        <v>229</v>
      </c>
      <c r="G85" s="34" t="s">
        <v>68</v>
      </c>
      <c r="H85" s="46" t="s">
        <v>30</v>
      </c>
      <c r="I85" s="32" t="s">
        <v>361</v>
      </c>
      <c r="J85" s="36" t="s">
        <v>362</v>
      </c>
      <c r="K85" s="46" t="s">
        <v>354</v>
      </c>
    </row>
    <row r="86" customFormat="false" ht="19.5" hidden="false" customHeight="true" outlineLevel="0" collapsed="false">
      <c r="A86" s="38" t="n">
        <v>71</v>
      </c>
      <c r="B86" s="39" t="s">
        <v>68</v>
      </c>
      <c r="C86" s="40" t="s">
        <v>363</v>
      </c>
      <c r="D86" s="41" t="s">
        <v>364</v>
      </c>
      <c r="E86" s="40" t="s">
        <v>145</v>
      </c>
      <c r="F86" s="42" t="s">
        <v>229</v>
      </c>
      <c r="G86" s="42" t="s">
        <v>68</v>
      </c>
      <c r="H86" s="46" t="s">
        <v>30</v>
      </c>
      <c r="I86" s="40" t="s">
        <v>365</v>
      </c>
      <c r="J86" s="44" t="s">
        <v>366</v>
      </c>
      <c r="K86" s="46" t="s">
        <v>354</v>
      </c>
    </row>
    <row r="87" customFormat="false" ht="19.5" hidden="false" customHeight="true" outlineLevel="0" collapsed="false">
      <c r="A87" s="30" t="n">
        <v>72</v>
      </c>
      <c r="B87" s="31" t="s">
        <v>68</v>
      </c>
      <c r="C87" s="32" t="s">
        <v>367</v>
      </c>
      <c r="D87" s="33" t="s">
        <v>368</v>
      </c>
      <c r="E87" s="32" t="s">
        <v>145</v>
      </c>
      <c r="F87" s="34" t="s">
        <v>229</v>
      </c>
      <c r="G87" s="34" t="s">
        <v>68</v>
      </c>
      <c r="H87" s="46" t="s">
        <v>30</v>
      </c>
      <c r="I87" s="32" t="s">
        <v>369</v>
      </c>
      <c r="J87" s="36" t="s">
        <v>370</v>
      </c>
      <c r="K87" s="46" t="s">
        <v>354</v>
      </c>
    </row>
    <row r="88" customFormat="false" ht="19.5" hidden="false" customHeight="true" outlineLevel="0" collapsed="false">
      <c r="A88" s="38" t="n">
        <v>73</v>
      </c>
      <c r="B88" s="39" t="s">
        <v>68</v>
      </c>
      <c r="C88" s="40" t="s">
        <v>371</v>
      </c>
      <c r="D88" s="41" t="s">
        <v>372</v>
      </c>
      <c r="E88" s="40" t="s">
        <v>145</v>
      </c>
      <c r="F88" s="42" t="s">
        <v>229</v>
      </c>
      <c r="G88" s="42" t="s">
        <v>68</v>
      </c>
      <c r="H88" s="46" t="s">
        <v>30</v>
      </c>
      <c r="I88" s="40" t="s">
        <v>373</v>
      </c>
      <c r="J88" s="44" t="s">
        <v>374</v>
      </c>
      <c r="K88" s="46" t="s">
        <v>354</v>
      </c>
    </row>
    <row r="89" customFormat="false" ht="30.75" hidden="false" customHeight="true" outlineLevel="0" collapsed="false">
      <c r="A89" s="30" t="n">
        <v>74</v>
      </c>
      <c r="B89" s="31" t="s">
        <v>68</v>
      </c>
      <c r="C89" s="32" t="s">
        <v>375</v>
      </c>
      <c r="D89" s="33" t="s">
        <v>376</v>
      </c>
      <c r="E89" s="32" t="s">
        <v>92</v>
      </c>
      <c r="F89" s="34" t="s">
        <v>68</v>
      </c>
      <c r="G89" s="34" t="s">
        <v>68</v>
      </c>
      <c r="H89" s="46" t="s">
        <v>30</v>
      </c>
      <c r="I89" s="32" t="s">
        <v>377</v>
      </c>
      <c r="J89" s="36" t="s">
        <v>378</v>
      </c>
      <c r="K89" s="46" t="s">
        <v>354</v>
      </c>
    </row>
  </sheetData>
  <autoFilter ref="A4:K89"/>
  <mergeCells count="13">
    <mergeCell ref="A1:K1"/>
    <mergeCell ref="A2:K2"/>
    <mergeCell ref="A5:K5"/>
    <mergeCell ref="A16:K16"/>
    <mergeCell ref="A20:K20"/>
    <mergeCell ref="A26:K26"/>
    <mergeCell ref="A31:K31"/>
    <mergeCell ref="A40:K40"/>
    <mergeCell ref="A46:K46"/>
    <mergeCell ref="A54:K54"/>
    <mergeCell ref="A60:K60"/>
    <mergeCell ref="A75:K75"/>
    <mergeCell ref="A82:K8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Dictionnaire de données — Station météo connectée intelligente —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33.75" hidden="false" customHeight="true" outlineLevel="0" collapsed="false">
      <c r="A1" s="26" t="s">
        <v>379</v>
      </c>
      <c r="B1" s="26"/>
      <c r="C1" s="26"/>
      <c r="D1" s="26"/>
      <c r="E1" s="26"/>
      <c r="F1" s="26"/>
    </row>
    <row r="2" customFormat="false" ht="21.75" hidden="false" customHeight="true" outlineLevel="0" collapsed="false">
      <c r="A2" s="27" t="s">
        <v>380</v>
      </c>
      <c r="B2" s="27"/>
      <c r="C2" s="27"/>
      <c r="D2" s="27"/>
      <c r="E2" s="27"/>
      <c r="F2" s="27"/>
    </row>
    <row r="3" customFormat="false" ht="7.5" hidden="false" customHeight="true" outlineLevel="0" collapsed="false"/>
    <row r="4" customFormat="false" ht="24" hidden="false" customHeight="true" outlineLevel="0" collapsed="false">
      <c r="A4" s="29" t="s">
        <v>381</v>
      </c>
      <c r="B4" s="29"/>
      <c r="C4" s="29"/>
      <c r="D4" s="29"/>
      <c r="E4" s="29"/>
      <c r="F4" s="29"/>
    </row>
    <row r="5" customFormat="false" ht="24" hidden="false" customHeight="true" outlineLevel="0" collapsed="false">
      <c r="A5" s="28" t="s">
        <v>382</v>
      </c>
      <c r="B5" s="28" t="s">
        <v>383</v>
      </c>
      <c r="C5" s="28" t="s">
        <v>384</v>
      </c>
      <c r="D5" s="28"/>
      <c r="E5" s="28"/>
      <c r="F5" s="28"/>
    </row>
    <row r="6" customFormat="false" ht="18" hidden="false" customHeight="true" outlineLevel="0" collapsed="false">
      <c r="A6" s="49" t="s">
        <v>91</v>
      </c>
      <c r="B6" s="33" t="s">
        <v>385</v>
      </c>
      <c r="C6" s="32" t="s">
        <v>386</v>
      </c>
      <c r="D6" s="32"/>
      <c r="E6" s="32"/>
      <c r="F6" s="32"/>
    </row>
    <row r="7" customFormat="false" ht="18" hidden="false" customHeight="true" outlineLevel="0" collapsed="false">
      <c r="A7" s="49"/>
      <c r="B7" s="33" t="s">
        <v>94</v>
      </c>
      <c r="C7" s="32" t="s">
        <v>387</v>
      </c>
      <c r="D7" s="32"/>
      <c r="E7" s="32"/>
      <c r="F7" s="32"/>
    </row>
    <row r="8" customFormat="false" ht="18" hidden="false" customHeight="true" outlineLevel="0" collapsed="false">
      <c r="A8" s="49"/>
      <c r="B8" s="33" t="s">
        <v>388</v>
      </c>
      <c r="C8" s="32" t="s">
        <v>389</v>
      </c>
      <c r="D8" s="32"/>
      <c r="E8" s="32"/>
      <c r="F8" s="32"/>
    </row>
    <row r="9" customFormat="false" ht="18" hidden="false" customHeight="true" outlineLevel="0" collapsed="false">
      <c r="A9" s="50" t="s">
        <v>136</v>
      </c>
      <c r="B9" s="41" t="s">
        <v>138</v>
      </c>
      <c r="C9" s="40" t="s">
        <v>390</v>
      </c>
      <c r="D9" s="40"/>
      <c r="E9" s="40"/>
      <c r="F9" s="40"/>
    </row>
    <row r="10" customFormat="false" ht="18" hidden="false" customHeight="true" outlineLevel="0" collapsed="false">
      <c r="A10" s="50"/>
      <c r="B10" s="41" t="s">
        <v>391</v>
      </c>
      <c r="C10" s="40" t="s">
        <v>392</v>
      </c>
      <c r="D10" s="40"/>
      <c r="E10" s="40"/>
      <c r="F10" s="40"/>
    </row>
    <row r="11" customFormat="false" ht="18" hidden="false" customHeight="true" outlineLevel="0" collapsed="false">
      <c r="A11" s="50"/>
      <c r="B11" s="41" t="s">
        <v>393</v>
      </c>
      <c r="C11" s="40" t="s">
        <v>394</v>
      </c>
      <c r="D11" s="40"/>
      <c r="E11" s="40"/>
      <c r="F11" s="40"/>
    </row>
    <row r="12" customFormat="false" ht="18" hidden="false" customHeight="true" outlineLevel="0" collapsed="false">
      <c r="A12" s="50"/>
      <c r="B12" s="41" t="s">
        <v>395</v>
      </c>
      <c r="C12" s="40" t="s">
        <v>396</v>
      </c>
      <c r="D12" s="40"/>
      <c r="E12" s="40"/>
      <c r="F12" s="40"/>
    </row>
    <row r="13" customFormat="false" ht="18" hidden="false" customHeight="true" outlineLevel="0" collapsed="false">
      <c r="A13" s="49" t="s">
        <v>140</v>
      </c>
      <c r="B13" s="33" t="s">
        <v>142</v>
      </c>
      <c r="C13" s="32" t="s">
        <v>397</v>
      </c>
      <c r="D13" s="32"/>
      <c r="E13" s="32"/>
      <c r="F13" s="32"/>
    </row>
    <row r="14" customFormat="false" ht="18" hidden="false" customHeight="true" outlineLevel="0" collapsed="false">
      <c r="A14" s="49"/>
      <c r="B14" s="33" t="s">
        <v>398</v>
      </c>
      <c r="C14" s="32" t="s">
        <v>399</v>
      </c>
      <c r="D14" s="32"/>
      <c r="E14" s="32"/>
      <c r="F14" s="32"/>
    </row>
    <row r="15" customFormat="false" ht="18" hidden="false" customHeight="true" outlineLevel="0" collapsed="false">
      <c r="A15" s="50" t="s">
        <v>183</v>
      </c>
      <c r="B15" s="41" t="s">
        <v>400</v>
      </c>
      <c r="C15" s="40" t="s">
        <v>401</v>
      </c>
      <c r="D15" s="40"/>
      <c r="E15" s="40"/>
      <c r="F15" s="40"/>
    </row>
    <row r="16" customFormat="false" ht="18" hidden="false" customHeight="true" outlineLevel="0" collapsed="false">
      <c r="A16" s="50"/>
      <c r="B16" s="41" t="s">
        <v>402</v>
      </c>
      <c r="C16" s="40" t="s">
        <v>403</v>
      </c>
      <c r="D16" s="40"/>
      <c r="E16" s="40"/>
      <c r="F16" s="40"/>
    </row>
    <row r="17" customFormat="false" ht="18" hidden="false" customHeight="true" outlineLevel="0" collapsed="false">
      <c r="A17" s="50"/>
      <c r="B17" s="41" t="s">
        <v>185</v>
      </c>
      <c r="C17" s="40" t="s">
        <v>404</v>
      </c>
      <c r="D17" s="40"/>
      <c r="E17" s="40"/>
      <c r="F17" s="40"/>
    </row>
    <row r="18" customFormat="false" ht="18" hidden="false" customHeight="true" outlineLevel="0" collapsed="false">
      <c r="A18" s="50"/>
      <c r="B18" s="41" t="s">
        <v>405</v>
      </c>
      <c r="C18" s="40" t="s">
        <v>406</v>
      </c>
      <c r="D18" s="40"/>
      <c r="E18" s="40"/>
      <c r="F18" s="40"/>
    </row>
    <row r="19" customFormat="false" ht="18" hidden="false" customHeight="true" outlineLevel="0" collapsed="false">
      <c r="A19" s="49" t="s">
        <v>219</v>
      </c>
      <c r="B19" s="33" t="s">
        <v>407</v>
      </c>
      <c r="C19" s="32" t="s">
        <v>408</v>
      </c>
      <c r="D19" s="32"/>
      <c r="E19" s="32"/>
      <c r="F19" s="32"/>
    </row>
    <row r="20" customFormat="false" ht="18" hidden="false" customHeight="true" outlineLevel="0" collapsed="false">
      <c r="A20" s="49"/>
      <c r="B20" s="33" t="s">
        <v>221</v>
      </c>
      <c r="C20" s="32" t="s">
        <v>409</v>
      </c>
      <c r="D20" s="32"/>
      <c r="E20" s="32"/>
      <c r="F20" s="32"/>
    </row>
    <row r="21" customFormat="false" ht="18" hidden="false" customHeight="true" outlineLevel="0" collapsed="false">
      <c r="A21" s="50" t="s">
        <v>330</v>
      </c>
      <c r="B21" s="41" t="s">
        <v>410</v>
      </c>
      <c r="C21" s="40" t="s">
        <v>411</v>
      </c>
      <c r="D21" s="40"/>
      <c r="E21" s="40"/>
      <c r="F21" s="40"/>
    </row>
    <row r="22" customFormat="false" ht="18" hidden="false" customHeight="true" outlineLevel="0" collapsed="false">
      <c r="A22" s="50"/>
      <c r="B22" s="41" t="s">
        <v>332</v>
      </c>
      <c r="C22" s="40" t="s">
        <v>412</v>
      </c>
      <c r="D22" s="40"/>
      <c r="E22" s="40"/>
      <c r="F22" s="40"/>
    </row>
    <row r="23" customFormat="false" ht="18" hidden="false" customHeight="true" outlineLevel="0" collapsed="false">
      <c r="A23" s="50"/>
      <c r="B23" s="41" t="s">
        <v>413</v>
      </c>
      <c r="C23" s="40" t="s">
        <v>414</v>
      </c>
      <c r="D23" s="40"/>
      <c r="E23" s="40"/>
      <c r="F23" s="40"/>
    </row>
    <row r="24" customFormat="false" ht="18" hidden="false" customHeight="true" outlineLevel="0" collapsed="false">
      <c r="A24" s="50"/>
      <c r="B24" s="41" t="s">
        <v>415</v>
      </c>
      <c r="C24" s="40" t="s">
        <v>416</v>
      </c>
      <c r="D24" s="40"/>
      <c r="E24" s="40"/>
      <c r="F24" s="40"/>
    </row>
    <row r="25" customFormat="false" ht="18" hidden="false" customHeight="true" outlineLevel="0" collapsed="false">
      <c r="A25" s="50"/>
      <c r="B25" s="41" t="s">
        <v>417</v>
      </c>
      <c r="C25" s="40" t="s">
        <v>418</v>
      </c>
      <c r="D25" s="40"/>
      <c r="E25" s="40"/>
      <c r="F25" s="40"/>
    </row>
    <row r="26" customFormat="false" ht="18" hidden="false" customHeight="true" outlineLevel="0" collapsed="false">
      <c r="A26" s="49" t="s">
        <v>334</v>
      </c>
      <c r="B26" s="33" t="s">
        <v>419</v>
      </c>
      <c r="C26" s="32" t="s">
        <v>420</v>
      </c>
      <c r="D26" s="32"/>
      <c r="E26" s="32"/>
      <c r="F26" s="32"/>
    </row>
    <row r="27" customFormat="false" ht="18" hidden="false" customHeight="true" outlineLevel="0" collapsed="false">
      <c r="A27" s="49"/>
      <c r="B27" s="33" t="s">
        <v>336</v>
      </c>
      <c r="C27" s="32" t="s">
        <v>421</v>
      </c>
      <c r="D27" s="32"/>
      <c r="E27" s="32"/>
      <c r="F27" s="32"/>
    </row>
    <row r="28" customFormat="false" ht="18" hidden="false" customHeight="true" outlineLevel="0" collapsed="false">
      <c r="A28" s="51" t="s">
        <v>422</v>
      </c>
      <c r="B28" s="41" t="s">
        <v>358</v>
      </c>
      <c r="C28" s="40" t="s">
        <v>423</v>
      </c>
      <c r="D28" s="40"/>
      <c r="E28" s="40"/>
      <c r="F28" s="40"/>
    </row>
    <row r="29" customFormat="false" ht="18" hidden="false" customHeight="true" outlineLevel="0" collapsed="false">
      <c r="A29" s="51"/>
      <c r="B29" s="41" t="s">
        <v>424</v>
      </c>
      <c r="C29" s="40" t="s">
        <v>425</v>
      </c>
      <c r="D29" s="40"/>
      <c r="E29" s="40"/>
      <c r="F29" s="40"/>
    </row>
    <row r="30" customFormat="false" ht="18" hidden="false" customHeight="true" outlineLevel="0" collapsed="false">
      <c r="A30" s="51"/>
      <c r="B30" s="41" t="s">
        <v>426</v>
      </c>
      <c r="C30" s="40" t="s">
        <v>427</v>
      </c>
      <c r="D30" s="40"/>
      <c r="E30" s="40"/>
      <c r="F30" s="40"/>
    </row>
    <row r="31" customFormat="false" ht="18" hidden="false" customHeight="true" outlineLevel="0" collapsed="false">
      <c r="A31" s="52" t="s">
        <v>428</v>
      </c>
      <c r="B31" s="33" t="s">
        <v>378</v>
      </c>
      <c r="C31" s="32" t="s">
        <v>429</v>
      </c>
      <c r="D31" s="32"/>
      <c r="E31" s="32"/>
      <c r="F31" s="32"/>
    </row>
    <row r="32" customFormat="false" ht="18" hidden="false" customHeight="true" outlineLevel="0" collapsed="false">
      <c r="A32" s="52"/>
      <c r="B32" s="33" t="s">
        <v>430</v>
      </c>
      <c r="C32" s="32" t="s">
        <v>431</v>
      </c>
      <c r="D32" s="32"/>
      <c r="E32" s="32"/>
      <c r="F32" s="32"/>
    </row>
    <row r="33" customFormat="false" ht="18" hidden="false" customHeight="true" outlineLevel="0" collapsed="false">
      <c r="A33" s="52"/>
      <c r="B33" s="33" t="s">
        <v>432</v>
      </c>
      <c r="C33" s="32" t="s">
        <v>433</v>
      </c>
      <c r="D33" s="32"/>
      <c r="E33" s="32"/>
      <c r="F33" s="32"/>
    </row>
    <row r="35" customFormat="false" ht="24" hidden="false" customHeight="true" outlineLevel="0" collapsed="false">
      <c r="A35" s="29" t="s">
        <v>434</v>
      </c>
      <c r="B35" s="29"/>
      <c r="C35" s="29"/>
      <c r="D35" s="29"/>
      <c r="E35" s="29"/>
      <c r="F35" s="29"/>
    </row>
    <row r="36" customFormat="false" ht="24" hidden="false" customHeight="true" outlineLevel="0" collapsed="false">
      <c r="A36" s="28" t="s">
        <v>118</v>
      </c>
      <c r="B36" s="28" t="s">
        <v>123</v>
      </c>
      <c r="C36" s="28" t="s">
        <v>127</v>
      </c>
      <c r="D36" s="28"/>
      <c r="E36" s="28"/>
      <c r="F36" s="28" t="s">
        <v>435</v>
      </c>
    </row>
    <row r="37" customFormat="false" ht="18" hidden="false" customHeight="true" outlineLevel="0" collapsed="false">
      <c r="A37" s="53" t="s">
        <v>121</v>
      </c>
      <c r="B37" s="32" t="s">
        <v>125</v>
      </c>
      <c r="C37" s="34" t="s">
        <v>129</v>
      </c>
      <c r="D37" s="34"/>
      <c r="E37" s="34"/>
      <c r="F37" s="32" t="s">
        <v>436</v>
      </c>
    </row>
    <row r="38" customFormat="false" ht="18" hidden="false" customHeight="true" outlineLevel="0" collapsed="false">
      <c r="A38" s="54" t="s">
        <v>437</v>
      </c>
      <c r="B38" s="40" t="s">
        <v>438</v>
      </c>
      <c r="C38" s="42" t="s">
        <v>439</v>
      </c>
      <c r="D38" s="42"/>
      <c r="E38" s="42"/>
      <c r="F38" s="40"/>
    </row>
    <row r="39" customFormat="false" ht="18" hidden="false" customHeight="true" outlineLevel="0" collapsed="false">
      <c r="A39" s="53" t="s">
        <v>440</v>
      </c>
      <c r="B39" s="32" t="s">
        <v>441</v>
      </c>
      <c r="C39" s="34" t="s">
        <v>442</v>
      </c>
      <c r="D39" s="34"/>
      <c r="E39" s="34"/>
      <c r="F39" s="32" t="s">
        <v>443</v>
      </c>
    </row>
    <row r="40" customFormat="false" ht="18" hidden="false" customHeight="true" outlineLevel="0" collapsed="false">
      <c r="A40" s="54" t="s">
        <v>444</v>
      </c>
      <c r="B40" s="40" t="s">
        <v>445</v>
      </c>
      <c r="C40" s="42" t="s">
        <v>446</v>
      </c>
      <c r="D40" s="42"/>
      <c r="E40" s="42"/>
      <c r="F40" s="40"/>
    </row>
    <row r="41" customFormat="false" ht="18" hidden="false" customHeight="true" outlineLevel="0" collapsed="false">
      <c r="A41" s="53" t="s">
        <v>447</v>
      </c>
      <c r="B41" s="32" t="s">
        <v>448</v>
      </c>
      <c r="C41" s="34" t="s">
        <v>449</v>
      </c>
      <c r="D41" s="34"/>
      <c r="E41" s="34"/>
      <c r="F41" s="32" t="s">
        <v>450</v>
      </c>
    </row>
    <row r="42" customFormat="false" ht="18" hidden="false" customHeight="true" outlineLevel="0" collapsed="false">
      <c r="A42" s="54" t="s">
        <v>451</v>
      </c>
      <c r="B42" s="40" t="s">
        <v>452</v>
      </c>
      <c r="C42" s="42" t="s">
        <v>453</v>
      </c>
      <c r="D42" s="42"/>
      <c r="E42" s="42"/>
      <c r="F42" s="40"/>
    </row>
    <row r="43" customFormat="false" ht="18" hidden="false" customHeight="true" outlineLevel="0" collapsed="false">
      <c r="A43" s="53" t="s">
        <v>454</v>
      </c>
      <c r="B43" s="32" t="s">
        <v>304</v>
      </c>
      <c r="C43" s="34" t="s">
        <v>68</v>
      </c>
      <c r="D43" s="34"/>
      <c r="E43" s="34"/>
      <c r="F43" s="32"/>
    </row>
    <row r="44" customFormat="false" ht="18" hidden="false" customHeight="true" outlineLevel="0" collapsed="false">
      <c r="A44" s="54" t="s">
        <v>455</v>
      </c>
      <c r="B44" s="40" t="s">
        <v>456</v>
      </c>
      <c r="C44" s="42" t="s">
        <v>457</v>
      </c>
      <c r="D44" s="42"/>
      <c r="E44" s="42"/>
      <c r="F44" s="40"/>
    </row>
    <row r="45" customFormat="false" ht="18" hidden="false" customHeight="true" outlineLevel="0" collapsed="false">
      <c r="A45" s="53" t="s">
        <v>458</v>
      </c>
      <c r="B45" s="32" t="s">
        <v>459</v>
      </c>
      <c r="C45" s="34" t="s">
        <v>439</v>
      </c>
      <c r="D45" s="34"/>
      <c r="E45" s="34"/>
      <c r="F45" s="32" t="s">
        <v>460</v>
      </c>
    </row>
    <row r="46" customFormat="false" ht="18" hidden="false" customHeight="true" outlineLevel="0" collapsed="false">
      <c r="A46" s="54" t="s">
        <v>461</v>
      </c>
      <c r="B46" s="40" t="s">
        <v>462</v>
      </c>
      <c r="C46" s="42" t="s">
        <v>463</v>
      </c>
      <c r="D46" s="42"/>
      <c r="E46" s="42"/>
      <c r="F46" s="40" t="s">
        <v>460</v>
      </c>
    </row>
    <row r="48" customFormat="false" ht="24" hidden="false" customHeight="true" outlineLevel="0" collapsed="false">
      <c r="A48" s="29" t="s">
        <v>464</v>
      </c>
      <c r="B48" s="29"/>
      <c r="C48" s="29"/>
      <c r="D48" s="29"/>
      <c r="E48" s="29"/>
      <c r="F48" s="29"/>
    </row>
    <row r="49" customFormat="false" ht="24" hidden="false" customHeight="true" outlineLevel="0" collapsed="false">
      <c r="A49" s="28" t="s">
        <v>136</v>
      </c>
      <c r="B49" s="28" t="s">
        <v>465</v>
      </c>
      <c r="C49" s="28" t="s">
        <v>140</v>
      </c>
      <c r="D49" s="28" t="s">
        <v>144</v>
      </c>
      <c r="E49" s="28" t="s">
        <v>126</v>
      </c>
      <c r="F49" s="28" t="s">
        <v>466</v>
      </c>
    </row>
    <row r="50" customFormat="false" ht="18" hidden="false" customHeight="true" outlineLevel="0" collapsed="false">
      <c r="A50" s="33" t="s">
        <v>138</v>
      </c>
      <c r="B50" s="55" t="s">
        <v>121</v>
      </c>
      <c r="C50" s="34" t="s">
        <v>142</v>
      </c>
      <c r="D50" s="56" t="n">
        <v>30</v>
      </c>
      <c r="E50" s="34" t="s">
        <v>129</v>
      </c>
      <c r="F50" s="32" t="s">
        <v>467</v>
      </c>
    </row>
    <row r="51" customFormat="false" ht="18" hidden="false" customHeight="true" outlineLevel="0" collapsed="false">
      <c r="A51" s="41" t="s">
        <v>391</v>
      </c>
      <c r="B51" s="57" t="s">
        <v>121</v>
      </c>
      <c r="C51" s="42" t="s">
        <v>398</v>
      </c>
      <c r="D51" s="56" t="n">
        <v>0</v>
      </c>
      <c r="E51" s="42" t="s">
        <v>129</v>
      </c>
      <c r="F51" s="40" t="s">
        <v>468</v>
      </c>
    </row>
    <row r="52" customFormat="false" ht="18" hidden="false" customHeight="true" outlineLevel="0" collapsed="false">
      <c r="A52" s="33" t="s">
        <v>393</v>
      </c>
      <c r="B52" s="55" t="s">
        <v>440</v>
      </c>
      <c r="C52" s="34" t="s">
        <v>142</v>
      </c>
      <c r="D52" s="56" t="n">
        <v>11</v>
      </c>
      <c r="E52" s="34" t="s">
        <v>442</v>
      </c>
      <c r="F52" s="32" t="s">
        <v>469</v>
      </c>
    </row>
    <row r="53" customFormat="false" ht="18" hidden="false" customHeight="true" outlineLevel="0" collapsed="false">
      <c r="A53" s="41" t="s">
        <v>395</v>
      </c>
      <c r="B53" s="57" t="s">
        <v>447</v>
      </c>
      <c r="C53" s="42" t="s">
        <v>142</v>
      </c>
      <c r="D53" s="56" t="n">
        <v>0.5</v>
      </c>
      <c r="E53" s="42" t="s">
        <v>449</v>
      </c>
      <c r="F53" s="40" t="s">
        <v>470</v>
      </c>
    </row>
    <row r="54" customFormat="false" ht="19.5" hidden="false" customHeight="true" outlineLevel="0" collapsed="false">
      <c r="A54" s="58" t="s">
        <v>471</v>
      </c>
      <c r="B54" s="58"/>
      <c r="C54" s="58"/>
      <c r="D54" s="58"/>
      <c r="E54" s="58"/>
      <c r="F54" s="58"/>
    </row>
  </sheetData>
  <mergeCells count="55">
    <mergeCell ref="A1:F1"/>
    <mergeCell ref="A2:F2"/>
    <mergeCell ref="A4:F4"/>
    <mergeCell ref="C5:F5"/>
    <mergeCell ref="A6:A8"/>
    <mergeCell ref="C6:F6"/>
    <mergeCell ref="C7:F7"/>
    <mergeCell ref="C8:F8"/>
    <mergeCell ref="A9:A12"/>
    <mergeCell ref="C9:F9"/>
    <mergeCell ref="C10:F10"/>
    <mergeCell ref="C11:F11"/>
    <mergeCell ref="C12:F12"/>
    <mergeCell ref="A13:A14"/>
    <mergeCell ref="C13:F13"/>
    <mergeCell ref="C14:F14"/>
    <mergeCell ref="A15:A18"/>
    <mergeCell ref="C15:F15"/>
    <mergeCell ref="C16:F16"/>
    <mergeCell ref="C17:F17"/>
    <mergeCell ref="C18:F18"/>
    <mergeCell ref="A19:A20"/>
    <mergeCell ref="C19:F19"/>
    <mergeCell ref="C20:F20"/>
    <mergeCell ref="A21:A25"/>
    <mergeCell ref="C21:F21"/>
    <mergeCell ref="C22:F22"/>
    <mergeCell ref="C23:F23"/>
    <mergeCell ref="C24:F24"/>
    <mergeCell ref="C25:F25"/>
    <mergeCell ref="A26:A27"/>
    <mergeCell ref="C26:F26"/>
    <mergeCell ref="C27:F27"/>
    <mergeCell ref="A28:A30"/>
    <mergeCell ref="C28:F28"/>
    <mergeCell ref="C29:F29"/>
    <mergeCell ref="C30:F30"/>
    <mergeCell ref="A31:A33"/>
    <mergeCell ref="C31:F31"/>
    <mergeCell ref="C32:F32"/>
    <mergeCell ref="C33:F33"/>
    <mergeCell ref="A35:F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A48:F48"/>
    <mergeCell ref="A54:F5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Dictionnaire de données — Station météo connectée intelligente —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4F"/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68"/>
  </cols>
  <sheetData>
    <row r="1" customFormat="false" ht="33.75" hidden="false" customHeight="true" outlineLevel="0" collapsed="false">
      <c r="A1" s="26" t="s">
        <v>472</v>
      </c>
      <c r="B1" s="26"/>
      <c r="C1" s="26"/>
      <c r="D1" s="26"/>
      <c r="E1" s="26"/>
      <c r="F1" s="26"/>
    </row>
    <row r="2" customFormat="false" ht="21.75" hidden="false" customHeight="true" outlineLevel="0" collapsed="false">
      <c r="A2" s="27" t="s">
        <v>473</v>
      </c>
      <c r="B2" s="27"/>
      <c r="C2" s="27"/>
      <c r="D2" s="27"/>
      <c r="E2" s="27"/>
      <c r="F2" s="27"/>
    </row>
    <row r="3" customFormat="false" ht="7.5" hidden="false" customHeight="true" outlineLevel="0" collapsed="false"/>
    <row r="4" customFormat="false" ht="24" hidden="false" customHeight="true" outlineLevel="0" collapsed="false">
      <c r="A4" s="29" t="s">
        <v>474</v>
      </c>
      <c r="B4" s="29"/>
      <c r="C4" s="29"/>
      <c r="D4" s="29"/>
      <c r="E4" s="29"/>
      <c r="F4" s="29"/>
    </row>
    <row r="5" customFormat="false" ht="24" hidden="false" customHeight="true" outlineLevel="0" collapsed="false">
      <c r="A5" s="28" t="s">
        <v>53</v>
      </c>
      <c r="B5" s="28" t="s">
        <v>475</v>
      </c>
      <c r="C5" s="28" t="s">
        <v>476</v>
      </c>
      <c r="D5" s="28" t="s">
        <v>475</v>
      </c>
      <c r="E5" s="28" t="s">
        <v>53</v>
      </c>
      <c r="F5" s="28" t="s">
        <v>477</v>
      </c>
    </row>
    <row r="6" customFormat="false" ht="18" hidden="false" customHeight="true" outlineLevel="0" collapsed="false">
      <c r="A6" s="59" t="s">
        <v>131</v>
      </c>
      <c r="B6" s="60" t="s">
        <v>478</v>
      </c>
      <c r="C6" s="61" t="s">
        <v>479</v>
      </c>
      <c r="D6" s="60" t="s">
        <v>480</v>
      </c>
      <c r="E6" s="59" t="s">
        <v>116</v>
      </c>
      <c r="F6" s="32" t="s">
        <v>481</v>
      </c>
    </row>
    <row r="7" customFormat="false" ht="18" hidden="false" customHeight="true" outlineLevel="0" collapsed="false">
      <c r="A7" s="62" t="s">
        <v>153</v>
      </c>
      <c r="B7" s="63" t="s">
        <v>478</v>
      </c>
      <c r="C7" s="64" t="s">
        <v>482</v>
      </c>
      <c r="D7" s="63" t="s">
        <v>480</v>
      </c>
      <c r="E7" s="62" t="s">
        <v>131</v>
      </c>
      <c r="F7" s="40" t="s">
        <v>483</v>
      </c>
    </row>
    <row r="8" customFormat="false" ht="18" hidden="false" customHeight="true" outlineLevel="0" collapsed="false">
      <c r="A8" s="59" t="s">
        <v>153</v>
      </c>
      <c r="B8" s="60" t="s">
        <v>478</v>
      </c>
      <c r="C8" s="61" t="s">
        <v>484</v>
      </c>
      <c r="D8" s="60" t="s">
        <v>480</v>
      </c>
      <c r="E8" s="59" t="s">
        <v>64</v>
      </c>
      <c r="F8" s="32" t="s">
        <v>485</v>
      </c>
    </row>
    <row r="9" customFormat="false" ht="18" hidden="false" customHeight="true" outlineLevel="0" collapsed="false">
      <c r="A9" s="62" t="s">
        <v>167</v>
      </c>
      <c r="B9" s="63" t="s">
        <v>478</v>
      </c>
      <c r="C9" s="64" t="s">
        <v>486</v>
      </c>
      <c r="D9" s="63" t="s">
        <v>480</v>
      </c>
      <c r="E9" s="62" t="s">
        <v>131</v>
      </c>
      <c r="F9" s="40" t="s">
        <v>487</v>
      </c>
    </row>
    <row r="10" customFormat="false" ht="18" hidden="false" customHeight="true" outlineLevel="0" collapsed="false">
      <c r="A10" s="59" t="s">
        <v>167</v>
      </c>
      <c r="B10" s="60" t="s">
        <v>488</v>
      </c>
      <c r="C10" s="61" t="s">
        <v>489</v>
      </c>
      <c r="D10" s="60" t="s">
        <v>480</v>
      </c>
      <c r="E10" s="59" t="s">
        <v>64</v>
      </c>
      <c r="F10" s="32" t="s">
        <v>490</v>
      </c>
    </row>
    <row r="11" customFormat="false" ht="30.75" hidden="false" customHeight="true" outlineLevel="0" collapsed="false">
      <c r="A11" s="62" t="s">
        <v>214</v>
      </c>
      <c r="B11" s="63" t="s">
        <v>488</v>
      </c>
      <c r="C11" s="64" t="s">
        <v>491</v>
      </c>
      <c r="D11" s="63" t="s">
        <v>480</v>
      </c>
      <c r="E11" s="62" t="s">
        <v>116</v>
      </c>
      <c r="F11" s="40" t="s">
        <v>492</v>
      </c>
    </row>
    <row r="12" customFormat="false" ht="18" hidden="false" customHeight="true" outlineLevel="0" collapsed="false">
      <c r="A12" s="59" t="s">
        <v>245</v>
      </c>
      <c r="B12" s="60" t="s">
        <v>478</v>
      </c>
      <c r="C12" s="61" t="s">
        <v>482</v>
      </c>
      <c r="D12" s="60" t="s">
        <v>480</v>
      </c>
      <c r="E12" s="59" t="s">
        <v>116</v>
      </c>
      <c r="F12" s="32" t="s">
        <v>493</v>
      </c>
    </row>
    <row r="13" customFormat="false" ht="18" hidden="false" customHeight="true" outlineLevel="0" collapsed="false">
      <c r="A13" s="65" t="s">
        <v>494</v>
      </c>
      <c r="B13" s="65"/>
      <c r="C13" s="65"/>
      <c r="D13" s="65"/>
      <c r="E13" s="65"/>
      <c r="F13" s="65"/>
    </row>
    <row r="15" customFormat="false" ht="24" hidden="false" customHeight="true" outlineLevel="0" collapsed="false">
      <c r="A15" s="47" t="s">
        <v>495</v>
      </c>
      <c r="B15" s="47"/>
      <c r="C15" s="47"/>
      <c r="D15" s="47"/>
      <c r="E15" s="47"/>
      <c r="F15" s="47"/>
    </row>
    <row r="16" customFormat="false" ht="24" hidden="false" customHeight="true" outlineLevel="0" collapsed="false">
      <c r="A16" s="28" t="s">
        <v>496</v>
      </c>
      <c r="B16" s="28"/>
      <c r="C16" s="28" t="s">
        <v>497</v>
      </c>
      <c r="D16" s="28"/>
      <c r="E16" s="28"/>
      <c r="F16" s="28" t="s">
        <v>498</v>
      </c>
    </row>
    <row r="17" customFormat="false" ht="30" hidden="false" customHeight="true" outlineLevel="0" collapsed="false">
      <c r="A17" s="66" t="s">
        <v>499</v>
      </c>
      <c r="B17" s="66"/>
      <c r="C17" s="67" t="s">
        <v>500</v>
      </c>
      <c r="D17" s="67"/>
      <c r="E17" s="67"/>
      <c r="F17" s="32" t="s">
        <v>501</v>
      </c>
    </row>
    <row r="18" customFormat="false" ht="30" hidden="false" customHeight="true" outlineLevel="0" collapsed="false">
      <c r="A18" s="68" t="s">
        <v>502</v>
      </c>
      <c r="B18" s="68"/>
      <c r="C18" s="69" t="s">
        <v>503</v>
      </c>
      <c r="D18" s="69"/>
      <c r="E18" s="69"/>
      <c r="F18" s="40" t="s">
        <v>504</v>
      </c>
    </row>
    <row r="20" customFormat="false" ht="24" hidden="false" customHeight="true" outlineLevel="0" collapsed="false">
      <c r="A20" s="70" t="s">
        <v>505</v>
      </c>
      <c r="B20" s="70"/>
      <c r="C20" s="70"/>
      <c r="D20" s="70"/>
      <c r="E20" s="70"/>
      <c r="F20" s="70"/>
    </row>
    <row r="21" customFormat="false" ht="21.75" hidden="false" customHeight="true" outlineLevel="0" collapsed="false">
      <c r="A21" s="71" t="s">
        <v>506</v>
      </c>
      <c r="B21" s="71"/>
      <c r="C21" s="71"/>
      <c r="D21" s="71"/>
      <c r="E21" s="71"/>
      <c r="F21" s="71"/>
    </row>
    <row r="22" customFormat="false" ht="21.75" hidden="false" customHeight="true" outlineLevel="0" collapsed="false">
      <c r="A22" s="72" t="s">
        <v>507</v>
      </c>
      <c r="B22" s="72"/>
      <c r="C22" s="72"/>
      <c r="D22" s="72"/>
      <c r="E22" s="72"/>
      <c r="F22" s="72"/>
    </row>
    <row r="23" customFormat="false" ht="21.75" hidden="false" customHeight="true" outlineLevel="0" collapsed="false">
      <c r="A23" s="71" t="s">
        <v>508</v>
      </c>
      <c r="B23" s="71"/>
      <c r="C23" s="71"/>
      <c r="D23" s="71"/>
      <c r="E23" s="71"/>
      <c r="F23" s="71"/>
    </row>
    <row r="24" customFormat="false" ht="21.75" hidden="false" customHeight="true" outlineLevel="0" collapsed="false">
      <c r="A24" s="72" t="s">
        <v>509</v>
      </c>
      <c r="B24" s="72"/>
      <c r="C24" s="72"/>
      <c r="D24" s="72"/>
      <c r="E24" s="72"/>
      <c r="F24" s="72"/>
    </row>
    <row r="25" customFormat="false" ht="36" hidden="false" customHeight="true" outlineLevel="0" collapsed="false">
      <c r="A25" s="71" t="s">
        <v>510</v>
      </c>
      <c r="B25" s="71"/>
      <c r="C25" s="71"/>
      <c r="D25" s="71"/>
      <c r="E25" s="71"/>
      <c r="F25" s="71"/>
    </row>
    <row r="26" customFormat="false" ht="21.75" hidden="false" customHeight="true" outlineLevel="0" collapsed="false">
      <c r="A26" s="72" t="s">
        <v>511</v>
      </c>
      <c r="B26" s="72"/>
      <c r="C26" s="72"/>
      <c r="D26" s="72"/>
      <c r="E26" s="72"/>
      <c r="F26" s="72"/>
    </row>
    <row r="27" customFormat="false" ht="21.75" hidden="false" customHeight="true" outlineLevel="0" collapsed="false">
      <c r="A27" s="71" t="s">
        <v>512</v>
      </c>
      <c r="B27" s="71"/>
      <c r="C27" s="71"/>
      <c r="D27" s="71"/>
      <c r="E27" s="71"/>
      <c r="F27" s="71"/>
    </row>
    <row r="28" customFormat="false" ht="21.75" hidden="false" customHeight="true" outlineLevel="0" collapsed="false">
      <c r="A28" s="72" t="s">
        <v>513</v>
      </c>
      <c r="B28" s="72"/>
      <c r="C28" s="72"/>
      <c r="D28" s="72"/>
      <c r="E28" s="72"/>
      <c r="F28" s="72"/>
    </row>
    <row r="30" customFormat="false" ht="24" hidden="false" customHeight="true" outlineLevel="0" collapsed="false">
      <c r="A30" s="47" t="s">
        <v>514</v>
      </c>
      <c r="B30" s="47"/>
      <c r="C30" s="47"/>
      <c r="D30" s="47"/>
      <c r="E30" s="47"/>
      <c r="F30" s="47"/>
    </row>
    <row r="31" customFormat="false" ht="34.5" hidden="false" customHeight="true" outlineLevel="0" collapsed="false">
      <c r="A31" s="73" t="s">
        <v>515</v>
      </c>
      <c r="B31" s="74" t="s">
        <v>516</v>
      </c>
      <c r="C31" s="74"/>
      <c r="D31" s="74"/>
      <c r="E31" s="74"/>
      <c r="F31" s="74"/>
    </row>
    <row r="32" customFormat="false" ht="21.75" hidden="false" customHeight="true" outlineLevel="0" collapsed="false">
      <c r="A32" s="75" t="s">
        <v>517</v>
      </c>
      <c r="B32" s="76" t="s">
        <v>518</v>
      </c>
      <c r="C32" s="76"/>
      <c r="D32" s="76"/>
      <c r="E32" s="76"/>
      <c r="F32" s="76"/>
    </row>
  </sheetData>
  <mergeCells count="23">
    <mergeCell ref="A1:F1"/>
    <mergeCell ref="A2:F2"/>
    <mergeCell ref="A4:F4"/>
    <mergeCell ref="A13:F13"/>
    <mergeCell ref="A15:F15"/>
    <mergeCell ref="A16:B16"/>
    <mergeCell ref="C16:E16"/>
    <mergeCell ref="A17:B17"/>
    <mergeCell ref="C17:E17"/>
    <mergeCell ref="A18:B18"/>
    <mergeCell ref="C18:E18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0:F30"/>
    <mergeCell ref="B31:F31"/>
    <mergeCell ref="B32:F3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Dictionnaire de données — Station météo connectée intelligente —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2026-09-24T09:57:06Z</dcterms:created>
  <dc:creator>openpyxl</dc:creator>
  <dc:description/>
  <dc:language>en-US</dc:language>
  <cp:lastModifiedBy/>
  <dcterms:modified xsi:type="dcterms:W3CDTF">2026-09-24T09:57:06Z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